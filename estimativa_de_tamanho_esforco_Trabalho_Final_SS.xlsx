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is\Desktop\COM210\"/>
    </mc:Choice>
  </mc:AlternateContent>
  <xr:revisionPtr revIDLastSave="0" documentId="8_{BF18B947-5B53-4DE4-87A0-11610FA4B0E5}" xr6:coauthVersionLast="47" xr6:coauthVersionMax="47" xr10:uidLastSave="{00000000-0000-0000-0000-000000000000}"/>
  <bookViews>
    <workbookView xWindow="-108" yWindow="-108" windowWidth="23256" windowHeight="12576" activeTab="2" xr2:uid="{4665D606-8F1E-42EF-9DD5-A0F9DDBAE0A4}"/>
  </bookViews>
  <sheets>
    <sheet name="Geral" sheetId="1" r:id="rId1"/>
    <sheet name="Atores" sheetId="2" r:id="rId2"/>
    <sheet name="RFS ou RFC" sheetId="3" r:id="rId3"/>
    <sheet name="Fatores" sheetId="4" r:id="rId4"/>
    <sheet name="Dados históric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G7" i="3" l="1"/>
  <c r="E33" i="4" l="1"/>
  <c r="E19" i="4"/>
  <c r="G9" i="5"/>
  <c r="I9" i="5"/>
  <c r="K9" i="5"/>
  <c r="M9" i="5"/>
  <c r="O9" i="5"/>
  <c r="Q9" i="5"/>
  <c r="S9" i="5"/>
  <c r="E7" i="5"/>
  <c r="E8" i="5"/>
  <c r="U8" i="5" s="1"/>
  <c r="E6" i="5"/>
  <c r="U6" i="5" s="1"/>
  <c r="E5" i="5"/>
  <c r="U5" i="5" s="1"/>
  <c r="E9" i="2"/>
  <c r="E9" i="5" l="1"/>
  <c r="M11" i="5" s="1"/>
  <c r="K15" i="1" s="1"/>
  <c r="J15" i="1" s="1"/>
  <c r="U7" i="5"/>
  <c r="K11" i="5" l="1"/>
  <c r="K14" i="1" s="1"/>
  <c r="J14" i="1" s="1"/>
  <c r="I11" i="5"/>
  <c r="G11" i="5"/>
  <c r="S11" i="5"/>
  <c r="K18" i="1" s="1"/>
  <c r="J18" i="1" s="1"/>
  <c r="Q11" i="5"/>
  <c r="K16" i="1" s="1"/>
  <c r="J16" i="1" s="1"/>
  <c r="O11" i="5"/>
  <c r="K17" i="1" s="1"/>
  <c r="J17" i="1" s="1"/>
  <c r="K13" i="1" l="1"/>
  <c r="J13" i="1" s="1"/>
  <c r="K12" i="1"/>
  <c r="J12" i="1" s="1"/>
  <c r="K11" i="1"/>
  <c r="U11" i="5"/>
  <c r="K19" i="1" l="1"/>
  <c r="J11" i="1"/>
  <c r="J19" i="1" s="1"/>
</calcChain>
</file>

<file path=xl/sharedStrings.xml><?xml version="1.0" encoding="utf-8"?>
<sst xmlns="http://schemas.openxmlformats.org/spreadsheetml/2006/main" count="241" uniqueCount="179">
  <si>
    <t>Estimativa de Esforço de Projeto baseado em Pontos de Caso de Uso (vs 1.0)</t>
  </si>
  <si>
    <t>&lt; Obs.: As instruções para uso da planilha encontram-se logo a baixo&gt;</t>
  </si>
  <si>
    <t>Resultado da Estimativa</t>
  </si>
  <si>
    <t>Esforço por fases</t>
  </si>
  <si>
    <t>Horas</t>
  </si>
  <si>
    <t>%</t>
  </si>
  <si>
    <t>Total de Pontos de Caso de Uso(tamanho)</t>
  </si>
  <si>
    <t>Fase de Prospecção</t>
  </si>
  <si>
    <t>Fase de Análise</t>
  </si>
  <si>
    <t>Fase de Projeto</t>
  </si>
  <si>
    <t>Fase de Planejamento</t>
  </si>
  <si>
    <t>Fase de Desenvolvimento</t>
  </si>
  <si>
    <t>Processo de Monitoramento e Controle</t>
  </si>
  <si>
    <t>Fase de Fechamento</t>
  </si>
  <si>
    <t>Instruções para realizar a estimativa do Projeto:</t>
  </si>
  <si>
    <t>Processo Controle de mudanças</t>
  </si>
  <si>
    <t>Total de horas do Projeto</t>
  </si>
  <si>
    <t>1) Preencha a Planilha Atores indicando os atores(usuários do sistema) e a sua complexidade.</t>
  </si>
  <si>
    <t>2) Preencha a Planilha RFS ou RFC indicando os Requisitos e quantidade de transações.</t>
  </si>
  <si>
    <t>3) Preencha a Planilha Fatores, com os fatores de complexidade ambiental e técnicos do Projeto.</t>
  </si>
  <si>
    <t>4) Após a execução dos passos anteriores, os resultados finais encontram-se na Planilha Geral.</t>
  </si>
  <si>
    <t>Atores do Projeto</t>
  </si>
  <si>
    <t>Complexidade do Ator</t>
  </si>
  <si>
    <t>Peso</t>
  </si>
  <si>
    <t>Qt. de Atores</t>
  </si>
  <si>
    <t>Simples</t>
  </si>
  <si>
    <t>Médio</t>
  </si>
  <si>
    <t>Complexo</t>
  </si>
  <si>
    <t>Atores</t>
  </si>
  <si>
    <t>Complexidade</t>
  </si>
  <si>
    <t>Total</t>
  </si>
  <si>
    <t>Versão original do documento</t>
  </si>
  <si>
    <t>Peso Total Atores</t>
  </si>
  <si>
    <t>ID</t>
  </si>
  <si>
    <t>Nome do RFC ou RFS</t>
  </si>
  <si>
    <t>Nro Entidades</t>
  </si>
  <si>
    <t>Discriminar Transações(opcional)</t>
  </si>
  <si>
    <t>Complexidade do RF</t>
  </si>
  <si>
    <t>Qt. de UC</t>
  </si>
  <si>
    <t>Peso Total UC</t>
  </si>
  <si>
    <t>Casos de Uso do Projeto</t>
  </si>
  <si>
    <t>Fatores de Complexidade</t>
  </si>
  <si>
    <t>Influência Tecnológica</t>
  </si>
  <si>
    <t>Descrição</t>
  </si>
  <si>
    <t>Influência</t>
  </si>
  <si>
    <t>T01</t>
  </si>
  <si>
    <t>Sistemas Distribuídos</t>
  </si>
  <si>
    <t>T02</t>
  </si>
  <si>
    <t>Tempo de resposta</t>
  </si>
  <si>
    <t>T03</t>
  </si>
  <si>
    <t>Grau de escolaridade do usuário final</t>
  </si>
  <si>
    <t>T04</t>
  </si>
  <si>
    <t>Processamento interno complexo</t>
  </si>
  <si>
    <t>T05</t>
  </si>
  <si>
    <t>Reusabilidade do código em outras aplicações</t>
  </si>
  <si>
    <t>T06</t>
  </si>
  <si>
    <t>Facilidade de instalação</t>
  </si>
  <si>
    <t>T07</t>
  </si>
  <si>
    <t>Usabilidade (facilidade operacional)</t>
  </si>
  <si>
    <t>T08</t>
  </si>
  <si>
    <t>Portabilidade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</si>
  <si>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</si>
  <si>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</si>
  <si>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</si>
  <si>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</si>
  <si>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</si>
  <si>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</si>
  <si>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</si>
  <si>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</si>
  <si>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</si>
  <si>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</si>
  <si>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</si>
  <si>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</si>
  <si>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</si>
  <si>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 de Software</t>
  </si>
  <si>
    <t>F02</t>
  </si>
  <si>
    <t>Experiência na Aplicação</t>
  </si>
  <si>
    <t>F03</t>
  </si>
  <si>
    <t>Experiência em Programação Orientada a Objetos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</si>
  <si>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</si>
  <si>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</si>
  <si>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</si>
  <si>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</si>
  <si>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</si>
  <si>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</si>
  <si>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</si>
  <si>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</si>
  <si>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F08</t>
  </si>
  <si>
    <t>Dificuldade da Linguagem de Programação</t>
  </si>
  <si>
    <t>Fator de Complexidade Ambiental</t>
  </si>
  <si>
    <t>Projetos</t>
  </si>
  <si>
    <t>Tamanho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</si>
  <si>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</si>
  <si>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</si>
  <si>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</si>
  <si>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</si>
  <si>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</si>
  <si>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</si>
  <si>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</si>
  <si>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</si>
  <si>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</si>
  <si>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</si>
  <si>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</si>
  <si>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</si>
  <si>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</si>
  <si>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</si>
  <si>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</si>
  <si>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10.0</t>
  </si>
  <si>
    <t>% de esforço por fases</t>
  </si>
  <si>
    <t>Base histórica de Projetos</t>
  </si>
  <si>
    <t>Projeto: GlobalTech</t>
  </si>
  <si>
    <r>
      <rPr>
        <b/>
        <sz val="12"/>
        <color theme="1"/>
        <rFont val="Times New Roman"/>
        <family val="1"/>
      </rPr>
      <t>Responsável:</t>
    </r>
    <r>
      <rPr>
        <sz val="12"/>
        <color theme="1"/>
        <rFont val="Times New Roman"/>
        <family val="1"/>
      </rPr>
      <t xml:space="preserve">  Thais, Bryan, Gustavo</t>
    </r>
  </si>
  <si>
    <r>
      <rPr>
        <b/>
        <sz val="12"/>
        <color theme="1"/>
        <rFont val="Times New Roman"/>
        <family val="1"/>
      </rPr>
      <t>Data: 1</t>
    </r>
    <r>
      <rPr>
        <sz val="12"/>
        <color theme="1"/>
        <rFont val="Times New Roman"/>
        <family val="1"/>
      </rPr>
      <t>7/05/2021</t>
    </r>
  </si>
  <si>
    <t>[RFS02]</t>
  </si>
  <si>
    <t>[RFS03]</t>
  </si>
  <si>
    <t>Pessoas/hora por RFS</t>
  </si>
  <si>
    <t>Gerente</t>
  </si>
  <si>
    <t>Funcionário</t>
  </si>
  <si>
    <t>Atendente</t>
  </si>
  <si>
    <t>Editar Funcionário</t>
  </si>
  <si>
    <t>Consultar Funcionário</t>
  </si>
  <si>
    <t>[RFS04]</t>
  </si>
  <si>
    <t>Excluir Funcionário</t>
  </si>
  <si>
    <t>[RFS05]</t>
  </si>
  <si>
    <t>Cadastrar grupo de funcionário</t>
  </si>
  <si>
    <t>[RFS06]</t>
  </si>
  <si>
    <t>Editar grupo de Funcionários</t>
  </si>
  <si>
    <t>[RFS07]</t>
  </si>
  <si>
    <t>Consultar grupo de Funcionários</t>
  </si>
  <si>
    <t>[RFS08]</t>
  </si>
  <si>
    <t>Excluir grupo de Funcionários</t>
  </si>
  <si>
    <t>[RFS09]</t>
  </si>
  <si>
    <t>Cadastrar Produto</t>
  </si>
  <si>
    <t>[RFS10]</t>
  </si>
  <si>
    <t>[RFS11]</t>
  </si>
  <si>
    <t>[RFS12]</t>
  </si>
  <si>
    <t>[RFS13]</t>
  </si>
  <si>
    <t>[RFS14]</t>
  </si>
  <si>
    <t>[RFS15]</t>
  </si>
  <si>
    <t>[RFS16]</t>
  </si>
  <si>
    <t>[RFS17]</t>
  </si>
  <si>
    <t>[RFS18]</t>
  </si>
  <si>
    <t>[RFS19]</t>
  </si>
  <si>
    <t>[RFS20]</t>
  </si>
  <si>
    <t>[RFS21]</t>
  </si>
  <si>
    <t>[RFS22]</t>
  </si>
  <si>
    <t>[RFS23]</t>
  </si>
  <si>
    <t>[RFS24]</t>
  </si>
  <si>
    <t>[RFS25]</t>
  </si>
  <si>
    <t>[RFS26]</t>
  </si>
  <si>
    <t>[RFS27]</t>
  </si>
  <si>
    <t>[RFS28]</t>
  </si>
  <si>
    <t>Editar Produto</t>
  </si>
  <si>
    <t>Consultar Produto</t>
  </si>
  <si>
    <t>Excluir Produto</t>
  </si>
  <si>
    <t>Cadastrar Grupo de Produto</t>
  </si>
  <si>
    <t>Excluir grupo de Produtos</t>
  </si>
  <si>
    <t>Cadastrar Produto Estoque</t>
  </si>
  <si>
    <t>Editar Produto Estoque</t>
  </si>
  <si>
    <t>Consultar Produto Estoque</t>
  </si>
  <si>
    <t>Excluir produto Estoque</t>
  </si>
  <si>
    <t>Cadastrar cliente</t>
  </si>
  <si>
    <t>Editar Cliente</t>
  </si>
  <si>
    <t>Consultar Cliente</t>
  </si>
  <si>
    <t>Excluir Cliente</t>
  </si>
  <si>
    <t>Cadastrar Grupo de Cliente</t>
  </si>
  <si>
    <t>Nome do funcionário, RG do funcionário, Data de aniversário, CPF do funcionário, Setor de atuação, Permissões de sistema, Salário</t>
  </si>
  <si>
    <t>Nome do grupo, Setor(es) de atuação</t>
  </si>
  <si>
    <t>Grupo de Funcionários</t>
  </si>
  <si>
    <t>Produto</t>
  </si>
  <si>
    <t>Nome do grupo, Característica do grupo</t>
  </si>
  <si>
    <t>Grupo de Produtos</t>
  </si>
  <si>
    <t>Produto estoque</t>
  </si>
  <si>
    <t xml:space="preserve">Nome do cliente, Data de nascimento, CPF do cliente, Endereço, Telefone / Celular, </t>
  </si>
  <si>
    <t>Cliente</t>
  </si>
  <si>
    <t>Nome do grupo, Característica comum</t>
  </si>
  <si>
    <t>Grupo de clientes</t>
  </si>
  <si>
    <t>Nome do produto, Classe do produto, Cor , Material, Tamanho(s) disponível(eis) , Sexo, Classificações, Medidas</t>
  </si>
  <si>
    <t xml:space="preserve">Nome do produto, Classe do produto, Cor , Material, Tamanho(s) disponível(eis)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</si>
</sst>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5" formatCode="&quot;UC&quot;00#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rgb="FF3F3F3F"/>
      <name val="Times New Roman"/>
      <family val="1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2"/>
      <color rgb="FF3F3F3F"/>
      <name val="Times New Roman"/>
      <family val="1"/>
    </font>
    <font>
      <sz val="8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/>
      <top style="thin">
        <color indexed="64"/>
      </top>
      <bottom style="thin">
        <color rgb="FF3F3F3F"/>
      </bottom>
      <diagonal/>
    </border>
    <border>
      <left/>
      <right/>
      <top style="thin">
        <color indexed="64"/>
      </top>
      <bottom style="thin">
        <color rgb="FF3F3F3F"/>
      </bottom>
      <diagonal/>
    </border>
    <border>
      <left/>
      <right style="thin">
        <color rgb="FF3F3F3F"/>
      </right>
      <top style="thin">
        <color indexed="64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9" fontId="1" fillId="0" borderId="0" applyFont="0" applyFill="0" applyBorder="0" applyAlignment="0" applyProtection="0"/>
    <xf numFmtId="0" fontId="15" fillId="0" borderId="0"/>
  </cellStyleXfs>
  <cellXfs count="89">
    <xf numFmtId="0" fontId="0" fillId="0" borderId="0" xfId="0"/>
    <xf numFmtId="0" fontId="5" fillId="5" borderId="0" xfId="4" applyFont="1"/>
    <xf numFmtId="0" fontId="4" fillId="5" borderId="0" xfId="4" applyFont="1"/>
    <xf numFmtId="0" fontId="5" fillId="5" borderId="0" xfId="4" applyFont="1" applyAlignment="1"/>
    <xf numFmtId="14" fontId="5" fillId="5" borderId="0" xfId="4" applyNumberFormat="1" applyFont="1"/>
    <xf numFmtId="0" fontId="7" fillId="5" borderId="0" xfId="4" applyFont="1"/>
    <xf numFmtId="0" fontId="8" fillId="3" borderId="4" xfId="2" applyFont="1" applyBorder="1"/>
    <xf numFmtId="0" fontId="8" fillId="3" borderId="5" xfId="2" applyFont="1" applyBorder="1"/>
    <xf numFmtId="0" fontId="8" fillId="3" borderId="6" xfId="2" applyFont="1" applyBorder="1"/>
    <xf numFmtId="0" fontId="5" fillId="5" borderId="0" xfId="4" applyFont="1" applyBorder="1" applyAlignment="1"/>
    <xf numFmtId="0" fontId="5" fillId="5" borderId="0" xfId="4" applyFont="1" applyBorder="1"/>
    <xf numFmtId="0" fontId="10" fillId="3" borderId="2" xfId="2" applyFont="1" applyBorder="1"/>
    <xf numFmtId="0" fontId="12" fillId="2" borderId="2" xfId="1" applyFont="1" applyBorder="1"/>
    <xf numFmtId="0" fontId="5" fillId="5" borderId="2" xfId="4" applyFont="1" applyBorder="1" applyAlignment="1">
      <alignment horizontal="center" vertical="center"/>
    </xf>
    <xf numFmtId="0" fontId="12" fillId="2" borderId="2" xfId="1" applyFont="1" applyBorder="1" applyAlignment="1">
      <alignment horizontal="center" vertical="center"/>
    </xf>
    <xf numFmtId="0" fontId="7" fillId="5" borderId="0" xfId="4" applyFont="1" applyAlignment="1"/>
    <xf numFmtId="0" fontId="12" fillId="2" borderId="4" xfId="1" applyFont="1" applyBorder="1" applyAlignment="1"/>
    <xf numFmtId="0" fontId="12" fillId="2" borderId="6" xfId="1" applyFont="1" applyBorder="1" applyAlignment="1"/>
    <xf numFmtId="0" fontId="12" fillId="2" borderId="2" xfId="1" applyFont="1" applyBorder="1" applyAlignment="1">
      <alignment horizontal="center" vertical="center"/>
    </xf>
    <xf numFmtId="0" fontId="5" fillId="0" borderId="4" xfId="0" applyFont="1" applyBorder="1" applyAlignment="1"/>
    <xf numFmtId="0" fontId="5" fillId="0" borderId="6" xfId="0" applyFont="1" applyBorder="1" applyAlignment="1"/>
    <xf numFmtId="0" fontId="12" fillId="2" borderId="2" xfId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164" fontId="12" fillId="2" borderId="2" xfId="1" applyNumberFormat="1" applyFont="1" applyBorder="1" applyAlignment="1">
      <alignment horizontal="center"/>
    </xf>
    <xf numFmtId="2" fontId="9" fillId="2" borderId="1" xfId="1" applyNumberFormat="1" applyFont="1"/>
    <xf numFmtId="2" fontId="9" fillId="2" borderId="3" xfId="1" applyNumberFormat="1" applyFont="1" applyBorder="1"/>
    <xf numFmtId="0" fontId="9" fillId="2" borderId="1" xfId="1" applyFont="1" applyAlignment="1">
      <alignment horizontal="right"/>
    </xf>
    <xf numFmtId="1" fontId="9" fillId="2" borderId="1" xfId="1" applyNumberFormat="1" applyFont="1"/>
    <xf numFmtId="9" fontId="9" fillId="2" borderId="1" xfId="1" applyNumberFormat="1" applyFont="1"/>
    <xf numFmtId="0" fontId="6" fillId="6" borderId="0" xfId="5" applyFont="1" applyAlignment="1">
      <alignment horizontal="center" vertical="center"/>
    </xf>
    <xf numFmtId="0" fontId="8" fillId="3" borderId="4" xfId="2" applyFont="1" applyBorder="1" applyAlignment="1">
      <alignment horizontal="center"/>
    </xf>
    <xf numFmtId="0" fontId="8" fillId="3" borderId="5" xfId="2" applyFont="1" applyBorder="1" applyAlignment="1">
      <alignment horizontal="center"/>
    </xf>
    <xf numFmtId="0" fontId="8" fillId="3" borderId="6" xfId="2" applyFont="1" applyBorder="1" applyAlignment="1">
      <alignment horizontal="center"/>
    </xf>
    <xf numFmtId="0" fontId="9" fillId="2" borderId="12" xfId="1" applyFont="1" applyBorder="1"/>
    <xf numFmtId="0" fontId="9" fillId="2" borderId="13" xfId="1" applyFont="1" applyBorder="1"/>
    <xf numFmtId="0" fontId="9" fillId="2" borderId="14" xfId="1" applyFont="1" applyBorder="1"/>
    <xf numFmtId="0" fontId="9" fillId="2" borderId="15" xfId="1" applyFont="1" applyBorder="1"/>
    <xf numFmtId="0" fontId="9" fillId="2" borderId="16" xfId="1" applyFont="1" applyBorder="1"/>
    <xf numFmtId="0" fontId="9" fillId="2" borderId="7" xfId="1" applyFont="1" applyBorder="1"/>
    <xf numFmtId="0" fontId="9" fillId="2" borderId="3" xfId="1" applyFont="1" applyBorder="1" applyAlignment="1">
      <alignment horizontal="center"/>
    </xf>
    <xf numFmtId="0" fontId="9" fillId="2" borderId="1" xfId="1" applyFont="1" applyAlignment="1">
      <alignment horizontal="center"/>
    </xf>
    <xf numFmtId="0" fontId="7" fillId="5" borderId="0" xfId="4" applyFont="1" applyAlignment="1">
      <alignment horizontal="center"/>
    </xf>
    <xf numFmtId="0" fontId="4" fillId="5" borderId="0" xfId="4" applyFont="1" applyAlignment="1">
      <alignment horizontal="center"/>
    </xf>
    <xf numFmtId="0" fontId="5" fillId="5" borderId="0" xfId="4" applyFont="1" applyAlignment="1">
      <alignment horizontal="left"/>
    </xf>
    <xf numFmtId="0" fontId="12" fillId="2" borderId="2" xfId="1" applyFont="1" applyBorder="1" applyAlignment="1">
      <alignment horizontal="center" vertical="center"/>
    </xf>
    <xf numFmtId="0" fontId="5" fillId="6" borderId="2" xfId="5" applyFont="1" applyBorder="1" applyAlignment="1">
      <alignment horizontal="center"/>
    </xf>
    <xf numFmtId="0" fontId="12" fillId="2" borderId="2" xfId="1" applyFont="1" applyBorder="1" applyAlignment="1">
      <alignment horizontal="center"/>
    </xf>
    <xf numFmtId="0" fontId="11" fillId="3" borderId="2" xfId="2" applyFont="1" applyBorder="1" applyAlignment="1">
      <alignment horizontal="center"/>
    </xf>
    <xf numFmtId="0" fontId="5" fillId="6" borderId="2" xfId="5" applyFont="1" applyBorder="1" applyAlignment="1">
      <alignment horizontal="center" vertical="center"/>
    </xf>
    <xf numFmtId="0" fontId="12" fillId="2" borderId="9" xfId="1" applyFont="1" applyBorder="1" applyAlignment="1">
      <alignment horizontal="center"/>
    </xf>
    <xf numFmtId="0" fontId="12" fillId="2" borderId="8" xfId="1" applyFont="1" applyBorder="1" applyAlignment="1">
      <alignment horizontal="center"/>
    </xf>
    <xf numFmtId="0" fontId="12" fillId="2" borderId="3" xfId="1" applyFont="1" applyBorder="1" applyAlignment="1">
      <alignment horizontal="center"/>
    </xf>
    <xf numFmtId="0" fontId="12" fillId="2" borderId="10" xfId="1" applyFont="1" applyBorder="1" applyAlignment="1">
      <alignment horizontal="center"/>
    </xf>
    <xf numFmtId="0" fontId="5" fillId="6" borderId="4" xfId="5" applyFont="1" applyBorder="1" applyAlignment="1">
      <alignment horizontal="center"/>
    </xf>
    <xf numFmtId="0" fontId="5" fillId="6" borderId="6" xfId="5" applyFont="1" applyBorder="1" applyAlignment="1">
      <alignment horizontal="center"/>
    </xf>
    <xf numFmtId="0" fontId="12" fillId="2" borderId="4" xfId="1" applyFont="1" applyBorder="1" applyAlignment="1">
      <alignment horizontal="center"/>
    </xf>
    <xf numFmtId="0" fontId="12" fillId="2" borderId="6" xfId="1" applyFont="1" applyBorder="1" applyAlignment="1">
      <alignment horizontal="center"/>
    </xf>
    <xf numFmtId="0" fontId="10" fillId="3" borderId="2" xfId="2" applyFont="1" applyBorder="1" applyAlignment="1">
      <alignment horizontal="center" vertical="center"/>
    </xf>
    <xf numFmtId="0" fontId="10" fillId="3" borderId="2" xfId="2" applyFont="1" applyBorder="1" applyAlignment="1">
      <alignment horizontal="center"/>
    </xf>
    <xf numFmtId="0" fontId="10" fillId="3" borderId="4" xfId="2" applyFont="1" applyBorder="1" applyAlignment="1">
      <alignment horizontal="center"/>
    </xf>
    <xf numFmtId="0" fontId="10" fillId="3" borderId="5" xfId="2" applyFont="1" applyBorder="1" applyAlignment="1">
      <alignment horizontal="center"/>
    </xf>
    <xf numFmtId="0" fontId="10" fillId="3" borderId="6" xfId="2" applyFont="1" applyBorder="1" applyAlignment="1">
      <alignment horizontal="center"/>
    </xf>
    <xf numFmtId="0" fontId="5" fillId="4" borderId="2" xfId="3" applyFont="1" applyBorder="1" applyAlignment="1">
      <alignment horizontal="center" vertical="center"/>
    </xf>
    <xf numFmtId="0" fontId="5" fillId="5" borderId="2" xfId="4" applyFont="1" applyBorder="1" applyAlignment="1">
      <alignment horizontal="center" vertical="center"/>
    </xf>
    <xf numFmtId="0" fontId="10" fillId="3" borderId="11" xfId="2" applyFont="1" applyBorder="1" applyAlignment="1">
      <alignment horizontal="center"/>
    </xf>
    <xf numFmtId="0" fontId="12" fillId="2" borderId="11" xfId="1" applyFont="1" applyBorder="1" applyAlignment="1">
      <alignment horizontal="center"/>
    </xf>
    <xf numFmtId="0" fontId="5" fillId="5" borderId="0" xfId="4" applyFont="1" applyAlignment="1">
      <alignment horizontal="center"/>
    </xf>
    <xf numFmtId="0" fontId="10" fillId="3" borderId="0" xfId="2" applyFont="1" applyAlignment="1">
      <alignment horizontal="center" vertical="center"/>
    </xf>
    <xf numFmtId="2" fontId="12" fillId="2" borderId="7" xfId="1" applyNumberFormat="1" applyFont="1" applyBorder="1" applyAlignment="1">
      <alignment horizontal="center" vertical="center"/>
    </xf>
    <xf numFmtId="2" fontId="12" fillId="2" borderId="1" xfId="1" applyNumberFormat="1" applyFont="1" applyAlignment="1">
      <alignment horizontal="center" vertical="center"/>
    </xf>
    <xf numFmtId="0" fontId="3" fillId="3" borderId="2" xfId="2" applyBorder="1"/>
    <xf numFmtId="175" fontId="3" fillId="3" borderId="2" xfId="2" applyNumberFormat="1" applyBorder="1"/>
    <xf numFmtId="0" fontId="2" fillId="2" borderId="1" xfId="1" applyAlignment="1">
      <alignment horizontal="center"/>
    </xf>
    <xf numFmtId="0" fontId="2" fillId="2" borderId="2" xfId="1" applyBorder="1" applyAlignment="1">
      <alignment horizontal="center"/>
    </xf>
    <xf numFmtId="0" fontId="1" fillId="5" borderId="0" xfId="4"/>
    <xf numFmtId="0" fontId="2" fillId="2" borderId="2" xfId="1" applyBorder="1" applyAlignment="1">
      <alignment horizontal="left"/>
    </xf>
    <xf numFmtId="0" fontId="2" fillId="2" borderId="15" xfId="1" applyBorder="1" applyAlignment="1">
      <alignment horizontal="center"/>
    </xf>
    <xf numFmtId="0" fontId="10" fillId="3" borderId="17" xfId="2" applyFont="1" applyBorder="1" applyAlignment="1">
      <alignment horizontal="center"/>
    </xf>
    <xf numFmtId="0" fontId="10" fillId="3" borderId="18" xfId="2" applyFont="1" applyBorder="1" applyAlignment="1">
      <alignment horizontal="center"/>
    </xf>
    <xf numFmtId="0" fontId="2" fillId="2" borderId="1" xfId="1" applyAlignment="1"/>
    <xf numFmtId="0" fontId="1" fillId="6" borderId="0" xfId="5" applyAlignment="1">
      <alignment horizontal="center"/>
    </xf>
    <xf numFmtId="0" fontId="1" fillId="6" borderId="0" xfId="5"/>
    <xf numFmtId="0" fontId="1" fillId="5" borderId="0" xfId="4" applyBorder="1" applyAlignment="1"/>
    <xf numFmtId="0" fontId="12" fillId="2" borderId="19" xfId="1" applyFont="1" applyBorder="1" applyAlignment="1">
      <alignment horizontal="center" vertical="center"/>
    </xf>
    <xf numFmtId="9" fontId="9" fillId="2" borderId="3" xfId="1" applyNumberFormat="1" applyFont="1" applyBorder="1"/>
    <xf numFmtId="9" fontId="5" fillId="5" borderId="0" xfId="6" applyFont="1" applyFill="1"/>
    <xf numFmtId="9" fontId="12" fillId="2" borderId="4" xfId="6" applyFont="1" applyFill="1" applyBorder="1" applyAlignment="1"/>
    <xf numFmtId="9" fontId="12" fillId="2" borderId="4" xfId="6" applyFont="1" applyFill="1" applyBorder="1" applyAlignment="1">
      <alignment horizontal="center"/>
    </xf>
    <xf numFmtId="9" fontId="12" fillId="2" borderId="6" xfId="6" applyFont="1" applyFill="1" applyBorder="1" applyAlignment="1">
      <alignment horizontal="center"/>
    </xf>
  </cellXfs>
  <cellStyles count="8">
    <cellStyle name="20% - Ênfase5" xfId="3" builtinId="46"/>
    <cellStyle name="40% - Ênfase5" xfId="4" builtinId="47"/>
    <cellStyle name="60% - Ênfase5" xfId="5" builtinId="48"/>
    <cellStyle name="Ênfase5" xfId="2" builtinId="45"/>
    <cellStyle name="Normal" xfId="0" builtinId="0"/>
    <cellStyle name="Normal 2" xfId="7" xr:uid="{8B8D4FE0-4AF8-4B2E-B4D7-3A1F4A980FC3}"/>
    <cellStyle name="Porcentagem" xfId="6" builtinId="5"/>
    <cellStyle name="Saí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8BB77-CCBF-409A-A28A-144FCA71FD26}">
  <dimension ref="A1:N28"/>
  <sheetViews>
    <sheetView topLeftCell="A7" workbookViewId="0">
      <selection activeCell="Q24" sqref="Q24"/>
    </sheetView>
  </sheetViews>
  <sheetFormatPr defaultRowHeight="14.4" x14ac:dyDescent="0.3"/>
  <cols>
    <col min="3" max="3" width="10.6640625" bestFit="1" customWidth="1"/>
    <col min="4" max="5" width="10.109375" bestFit="1" customWidth="1"/>
    <col min="11" max="11" width="9.44140625" bestFit="1" customWidth="1"/>
  </cols>
  <sheetData>
    <row r="1" spans="1:14" x14ac:dyDescent="0.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6" x14ac:dyDescent="0.3">
      <c r="A4" s="15" t="s">
        <v>110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.6" x14ac:dyDescent="0.3">
      <c r="A5" s="3" t="s">
        <v>111</v>
      </c>
      <c r="B5" s="3"/>
      <c r="C5" s="3"/>
      <c r="D5" s="3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5.6" x14ac:dyDescent="0.3">
      <c r="A6" s="1" t="s">
        <v>112</v>
      </c>
      <c r="B6" s="1"/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6" x14ac:dyDescent="0.3">
      <c r="A7" s="1"/>
      <c r="B7" s="1"/>
      <c r="C7" s="1"/>
      <c r="D7" s="1"/>
      <c r="E7" s="5" t="s">
        <v>31</v>
      </c>
      <c r="F7" s="1"/>
      <c r="G7" s="1"/>
      <c r="H7" s="1"/>
      <c r="I7" s="1"/>
      <c r="J7" s="1"/>
      <c r="K7" s="1"/>
      <c r="L7" s="1"/>
      <c r="M7" s="1"/>
      <c r="N7" s="1"/>
    </row>
    <row r="8" spans="1:14" ht="15.6" x14ac:dyDescent="0.3">
      <c r="A8" s="1"/>
      <c r="B8" s="1"/>
      <c r="C8" s="5" t="s">
        <v>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5.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6" x14ac:dyDescent="0.3">
      <c r="A10" s="30" t="s">
        <v>2</v>
      </c>
      <c r="B10" s="31"/>
      <c r="C10" s="31"/>
      <c r="D10" s="32"/>
      <c r="E10" s="1"/>
      <c r="F10" s="2"/>
      <c r="G10" s="6" t="s">
        <v>3</v>
      </c>
      <c r="H10" s="7"/>
      <c r="I10" s="7"/>
      <c r="J10" s="7" t="s">
        <v>4</v>
      </c>
      <c r="K10" s="8" t="s">
        <v>5</v>
      </c>
      <c r="L10" s="2"/>
      <c r="M10" s="2"/>
      <c r="N10" s="1"/>
    </row>
    <row r="11" spans="1:14" ht="15.6" x14ac:dyDescent="0.3">
      <c r="A11" s="39" t="s">
        <v>6</v>
      </c>
      <c r="B11" s="39"/>
      <c r="C11" s="39"/>
      <c r="D11" s="39"/>
      <c r="E11" s="24">
        <f>80</f>
        <v>80</v>
      </c>
      <c r="F11" s="2"/>
      <c r="G11" s="33" t="s">
        <v>7</v>
      </c>
      <c r="H11" s="34"/>
      <c r="I11" s="35"/>
      <c r="J11" s="25">
        <f>$E$11*$E$12*K11</f>
        <v>13.44</v>
      </c>
      <c r="K11" s="84">
        <f>'Dados históricos'!G11</f>
        <v>5.6000000000000001E-2</v>
      </c>
      <c r="L11" s="2"/>
      <c r="M11" s="2"/>
      <c r="N11" s="1"/>
    </row>
    <row r="12" spans="1:14" ht="15.6" x14ac:dyDescent="0.3">
      <c r="A12" s="40" t="s">
        <v>115</v>
      </c>
      <c r="B12" s="40"/>
      <c r="C12" s="40"/>
      <c r="D12" s="40"/>
      <c r="E12" s="26">
        <v>3</v>
      </c>
      <c r="F12" s="2"/>
      <c r="G12" s="36" t="s">
        <v>8</v>
      </c>
      <c r="H12" s="37"/>
      <c r="I12" s="38"/>
      <c r="J12" s="25">
        <f t="shared" ref="J12:J18" si="0">$E$11*$E$12*K12</f>
        <v>53.760000000000005</v>
      </c>
      <c r="K12" s="28">
        <f>'Dados históricos'!I11*0.8</f>
        <v>0.22400000000000003</v>
      </c>
      <c r="L12" s="2"/>
      <c r="M12" s="2"/>
      <c r="N12" s="1"/>
    </row>
    <row r="13" spans="1:14" ht="15.6" x14ac:dyDescent="0.3">
      <c r="A13" s="1"/>
      <c r="B13" s="1"/>
      <c r="C13" s="1"/>
      <c r="D13" s="1"/>
      <c r="E13" s="1"/>
      <c r="F13" s="2"/>
      <c r="G13" s="36" t="s">
        <v>9</v>
      </c>
      <c r="H13" s="37"/>
      <c r="I13" s="38"/>
      <c r="J13" s="25">
        <f t="shared" si="0"/>
        <v>13.440000000000001</v>
      </c>
      <c r="K13" s="28">
        <f>'Dados históricos'!I11*0.2</f>
        <v>5.6000000000000008E-2</v>
      </c>
      <c r="L13" s="2"/>
      <c r="M13" s="2"/>
      <c r="N13" s="1"/>
    </row>
    <row r="14" spans="1:14" ht="15.6" x14ac:dyDescent="0.3">
      <c r="A14" s="1"/>
      <c r="B14" s="1"/>
      <c r="C14" s="1"/>
      <c r="D14" s="1"/>
      <c r="E14" s="1"/>
      <c r="F14" s="2"/>
      <c r="G14" s="36" t="s">
        <v>10</v>
      </c>
      <c r="H14" s="37"/>
      <c r="I14" s="38"/>
      <c r="J14" s="25">
        <f t="shared" si="0"/>
        <v>19.2</v>
      </c>
      <c r="K14" s="28">
        <f>'Dados históricos'!K11</f>
        <v>0.08</v>
      </c>
      <c r="L14" s="2"/>
      <c r="M14" s="2"/>
      <c r="N14" s="1"/>
    </row>
    <row r="15" spans="1:14" ht="15.6" x14ac:dyDescent="0.3">
      <c r="A15" s="1"/>
      <c r="B15" s="1"/>
      <c r="C15" s="1"/>
      <c r="D15" s="1"/>
      <c r="E15" s="1"/>
      <c r="F15" s="2"/>
      <c r="G15" s="36" t="s">
        <v>11</v>
      </c>
      <c r="H15" s="37"/>
      <c r="I15" s="38"/>
      <c r="J15" s="25">
        <f t="shared" si="0"/>
        <v>104</v>
      </c>
      <c r="K15" s="28">
        <f>'Dados históricos'!M11</f>
        <v>0.43333333333333335</v>
      </c>
      <c r="L15" s="2"/>
      <c r="M15" s="2"/>
      <c r="N15" s="1"/>
    </row>
    <row r="16" spans="1:14" ht="15.6" x14ac:dyDescent="0.3">
      <c r="A16" s="1"/>
      <c r="B16" s="1"/>
      <c r="C16" s="1"/>
      <c r="D16" s="1"/>
      <c r="E16" s="1"/>
      <c r="F16" s="2"/>
      <c r="G16" s="36" t="s">
        <v>12</v>
      </c>
      <c r="H16" s="37"/>
      <c r="I16" s="38"/>
      <c r="J16" s="25">
        <f t="shared" si="0"/>
        <v>19.52</v>
      </c>
      <c r="K16" s="28">
        <f>'Dados históricos'!Q11</f>
        <v>8.1333333333333327E-2</v>
      </c>
      <c r="L16" s="2"/>
      <c r="M16" s="2"/>
      <c r="N16" s="1"/>
    </row>
    <row r="17" spans="1:14" ht="15.6" x14ac:dyDescent="0.3">
      <c r="A17" s="1"/>
      <c r="B17" s="1"/>
      <c r="C17" s="1"/>
      <c r="D17" s="1"/>
      <c r="E17" s="1"/>
      <c r="F17" s="2"/>
      <c r="G17" s="36" t="s">
        <v>13</v>
      </c>
      <c r="H17" s="37"/>
      <c r="I17" s="38"/>
      <c r="J17" s="25">
        <f t="shared" si="0"/>
        <v>6.4</v>
      </c>
      <c r="K17" s="28">
        <f>'Dados históricos'!O11</f>
        <v>2.6666666666666668E-2</v>
      </c>
      <c r="L17" s="2"/>
      <c r="M17" s="2"/>
      <c r="N17" s="1"/>
    </row>
    <row r="18" spans="1:14" ht="15.6" x14ac:dyDescent="0.3">
      <c r="A18" s="2"/>
      <c r="B18" s="2"/>
      <c r="C18" s="2"/>
      <c r="D18" s="2"/>
      <c r="E18" s="1"/>
      <c r="F18" s="2"/>
      <c r="G18" s="36" t="s">
        <v>15</v>
      </c>
      <c r="H18" s="37"/>
      <c r="I18" s="38"/>
      <c r="J18" s="25">
        <f t="shared" si="0"/>
        <v>10.24</v>
      </c>
      <c r="K18" s="28">
        <f>'Dados históricos'!S11</f>
        <v>4.2666666666666665E-2</v>
      </c>
      <c r="L18" s="2"/>
      <c r="M18" s="2"/>
      <c r="N18" s="1"/>
    </row>
    <row r="19" spans="1:14" ht="15.6" x14ac:dyDescent="0.3">
      <c r="A19" s="1"/>
      <c r="B19" s="1"/>
      <c r="C19" s="1"/>
      <c r="D19" s="1"/>
      <c r="E19" s="1"/>
      <c r="F19" s="2"/>
      <c r="G19" s="36" t="s">
        <v>16</v>
      </c>
      <c r="H19" s="37"/>
      <c r="I19" s="38"/>
      <c r="J19" s="27">
        <f>SUM(J11:J18)</f>
        <v>240.00000000000003</v>
      </c>
      <c r="K19" s="28">
        <f>SUM(K11:K18)</f>
        <v>1</v>
      </c>
      <c r="L19" s="2"/>
      <c r="M19" s="2"/>
      <c r="N19" s="1"/>
    </row>
    <row r="20" spans="1:1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15.6" x14ac:dyDescent="0.3">
      <c r="A21" s="2"/>
      <c r="B21" s="2"/>
      <c r="C21" s="2"/>
      <c r="D21" s="2"/>
      <c r="E21" s="41" t="s">
        <v>14</v>
      </c>
      <c r="F21" s="42"/>
      <c r="G21" s="42"/>
      <c r="H21" s="42"/>
      <c r="I21" s="42"/>
      <c r="J21" s="2"/>
      <c r="K21" s="2"/>
      <c r="L21" s="2"/>
      <c r="M21" s="2"/>
      <c r="N21" s="2"/>
    </row>
    <row r="22" spans="1:14" ht="15.6" x14ac:dyDescent="0.3">
      <c r="A22" s="43" t="s">
        <v>17</v>
      </c>
      <c r="B22" s="43"/>
      <c r="C22" s="43"/>
      <c r="D22" s="43"/>
      <c r="E22" s="43"/>
      <c r="F22" s="43"/>
      <c r="G22" s="43"/>
      <c r="H22" s="43"/>
      <c r="I22" s="43"/>
      <c r="J22" s="1"/>
      <c r="K22" s="1"/>
      <c r="L22" s="1"/>
      <c r="M22" s="1"/>
      <c r="N22" s="1"/>
    </row>
    <row r="23" spans="1:14" ht="15.6" x14ac:dyDescent="0.3">
      <c r="A23" s="43" t="s">
        <v>18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1"/>
      <c r="M23" s="1"/>
      <c r="N23" s="1"/>
    </row>
    <row r="24" spans="1:14" ht="15.6" x14ac:dyDescent="0.3">
      <c r="A24" s="43" t="s">
        <v>19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1"/>
      <c r="M24" s="1"/>
      <c r="N24" s="1"/>
    </row>
    <row r="25" spans="1:14" ht="15.6" x14ac:dyDescent="0.3">
      <c r="A25" s="43" t="s">
        <v>20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1"/>
      <c r="N25" s="1"/>
    </row>
    <row r="26" spans="1:14" ht="15.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5.75" customHeight="1" x14ac:dyDescent="0.3"/>
    <row r="28" spans="1:14" ht="15.75" customHeight="1" x14ac:dyDescent="0.3"/>
  </sheetData>
  <mergeCells count="18">
    <mergeCell ref="E21:I21"/>
    <mergeCell ref="A22:I22"/>
    <mergeCell ref="A25:L25"/>
    <mergeCell ref="G14:I14"/>
    <mergeCell ref="G15:I15"/>
    <mergeCell ref="G16:I16"/>
    <mergeCell ref="G17:I17"/>
    <mergeCell ref="G18:I18"/>
    <mergeCell ref="G19:I19"/>
    <mergeCell ref="A23:K23"/>
    <mergeCell ref="A24:K24"/>
    <mergeCell ref="A1:N2"/>
    <mergeCell ref="A10:D10"/>
    <mergeCell ref="G11:I11"/>
    <mergeCell ref="G12:I12"/>
    <mergeCell ref="G13:I13"/>
    <mergeCell ref="A11:D11"/>
    <mergeCell ref="A12:D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BB4B7-F678-4803-8C79-47B13D0419C7}">
  <dimension ref="A1:J21"/>
  <sheetViews>
    <sheetView workbookViewId="0">
      <selection activeCell="E9" sqref="E9"/>
    </sheetView>
  </sheetViews>
  <sheetFormatPr defaultRowHeight="14.4" x14ac:dyDescent="0.3"/>
  <sheetData>
    <row r="1" spans="1:10" x14ac:dyDescent="0.3">
      <c r="A1" s="29" t="s">
        <v>21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3">
      <c r="A2" s="29"/>
      <c r="B2" s="29"/>
      <c r="C2" s="29"/>
      <c r="D2" s="29"/>
      <c r="E2" s="29"/>
      <c r="F2" s="29"/>
      <c r="G2" s="29"/>
      <c r="H2" s="29"/>
      <c r="I2" s="29"/>
      <c r="J2" s="29"/>
    </row>
    <row r="3" spans="1:10" ht="15.6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.6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5.6" x14ac:dyDescent="0.3">
      <c r="A5" s="1"/>
      <c r="B5" s="47" t="s">
        <v>22</v>
      </c>
      <c r="C5" s="47"/>
      <c r="D5" s="47"/>
      <c r="E5" s="47" t="s">
        <v>23</v>
      </c>
      <c r="F5" s="47"/>
      <c r="G5" s="47" t="s">
        <v>24</v>
      </c>
      <c r="H5" s="47"/>
      <c r="I5" s="1"/>
      <c r="J5" s="1"/>
    </row>
    <row r="6" spans="1:10" ht="15.6" x14ac:dyDescent="0.3">
      <c r="A6" s="9"/>
      <c r="B6" s="45" t="s">
        <v>25</v>
      </c>
      <c r="C6" s="45"/>
      <c r="D6" s="45"/>
      <c r="E6" s="52">
        <v>1</v>
      </c>
      <c r="F6" s="51"/>
      <c r="G6" s="51">
        <v>0</v>
      </c>
      <c r="H6" s="51"/>
      <c r="I6" s="1"/>
      <c r="J6" s="1"/>
    </row>
    <row r="7" spans="1:10" ht="15.6" x14ac:dyDescent="0.3">
      <c r="A7" s="9"/>
      <c r="B7" s="45" t="s">
        <v>26</v>
      </c>
      <c r="C7" s="45"/>
      <c r="D7" s="45"/>
      <c r="E7" s="49">
        <v>2</v>
      </c>
      <c r="F7" s="50"/>
      <c r="G7" s="50">
        <v>0</v>
      </c>
      <c r="H7" s="50"/>
      <c r="I7" s="1"/>
      <c r="J7" s="1"/>
    </row>
    <row r="8" spans="1:10" ht="15.6" x14ac:dyDescent="0.3">
      <c r="A8" s="9"/>
      <c r="B8" s="45" t="s">
        <v>27</v>
      </c>
      <c r="C8" s="45"/>
      <c r="D8" s="53"/>
      <c r="E8" s="46">
        <v>3</v>
      </c>
      <c r="F8" s="46"/>
      <c r="G8" s="46">
        <v>3</v>
      </c>
      <c r="H8" s="46"/>
      <c r="I8" s="1"/>
      <c r="J8" s="1"/>
    </row>
    <row r="9" spans="1:10" ht="15.6" x14ac:dyDescent="0.3">
      <c r="A9" s="9"/>
      <c r="B9" s="45" t="s">
        <v>32</v>
      </c>
      <c r="C9" s="45"/>
      <c r="D9" s="45"/>
      <c r="E9" s="83">
        <f>((E6*G6)+(E7*G7)+(E8*G8))</f>
        <v>9</v>
      </c>
      <c r="F9" s="82"/>
      <c r="G9" s="82"/>
      <c r="H9" s="82"/>
      <c r="I9" s="1"/>
      <c r="J9" s="1"/>
    </row>
    <row r="10" spans="1:10" ht="15.6" x14ac:dyDescent="0.3">
      <c r="A10" s="10"/>
      <c r="B10" s="10"/>
      <c r="C10" s="10"/>
      <c r="D10" s="10"/>
      <c r="E10" s="10"/>
      <c r="F10" s="10"/>
      <c r="G10" s="1"/>
      <c r="H10" s="1"/>
      <c r="I10" s="1"/>
      <c r="J10" s="1"/>
    </row>
    <row r="11" spans="1:10" ht="15.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.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5.6" x14ac:dyDescent="0.3">
      <c r="A13" s="1"/>
      <c r="B13" s="1"/>
      <c r="C13" s="1"/>
      <c r="D13" s="47" t="s">
        <v>28</v>
      </c>
      <c r="E13" s="47"/>
      <c r="F13" s="47" t="s">
        <v>29</v>
      </c>
      <c r="G13" s="47"/>
      <c r="H13" s="1"/>
      <c r="I13" s="1"/>
      <c r="J13" s="1"/>
    </row>
    <row r="14" spans="1:10" ht="15.6" x14ac:dyDescent="0.3">
      <c r="A14" s="1"/>
      <c r="B14" s="1"/>
      <c r="C14" s="1"/>
      <c r="D14" s="45" t="s">
        <v>116</v>
      </c>
      <c r="E14" s="45"/>
      <c r="F14" s="46" t="s">
        <v>27</v>
      </c>
      <c r="G14" s="46"/>
      <c r="H14" s="1"/>
      <c r="I14" s="1"/>
      <c r="J14" s="1"/>
    </row>
    <row r="15" spans="1:10" ht="15.6" x14ac:dyDescent="0.3">
      <c r="A15" s="1"/>
      <c r="B15" s="1"/>
      <c r="C15" s="1"/>
      <c r="D15" s="45" t="s">
        <v>117</v>
      </c>
      <c r="E15" s="45"/>
      <c r="F15" s="46" t="s">
        <v>27</v>
      </c>
      <c r="G15" s="46"/>
      <c r="H15" s="1"/>
      <c r="I15" s="1"/>
      <c r="J15" s="1"/>
    </row>
    <row r="16" spans="1:10" ht="15.6" x14ac:dyDescent="0.3">
      <c r="A16" s="1"/>
      <c r="B16" s="1"/>
      <c r="C16" s="1"/>
      <c r="D16" s="53" t="s">
        <v>118</v>
      </c>
      <c r="E16" s="54"/>
      <c r="F16" s="55" t="s">
        <v>27</v>
      </c>
      <c r="G16" s="56"/>
      <c r="H16" s="1"/>
      <c r="I16" s="1"/>
      <c r="J16" s="1"/>
    </row>
    <row r="17" spans="1:10" ht="15.6" x14ac:dyDescent="0.3">
      <c r="A17" s="1"/>
      <c r="B17" s="1"/>
      <c r="C17" s="1"/>
      <c r="D17" s="45" t="s">
        <v>117</v>
      </c>
      <c r="E17" s="45"/>
      <c r="F17" s="46" t="s">
        <v>27</v>
      </c>
      <c r="G17" s="46"/>
      <c r="H17" s="1"/>
      <c r="I17" s="1"/>
      <c r="J17" s="1"/>
    </row>
    <row r="18" spans="1:10" ht="15.6" x14ac:dyDescent="0.3">
      <c r="A18" s="1"/>
      <c r="B18" s="1"/>
      <c r="C18" s="1"/>
      <c r="D18" s="48" t="s">
        <v>30</v>
      </c>
      <c r="E18" s="48"/>
      <c r="F18" s="44">
        <v>9</v>
      </c>
      <c r="G18" s="44"/>
      <c r="H18" s="1"/>
      <c r="I18" s="1"/>
      <c r="J18" s="1"/>
    </row>
    <row r="19" spans="1:10" ht="15.6" x14ac:dyDescent="0.3">
      <c r="A19" s="1"/>
      <c r="B19" s="1"/>
      <c r="C19" s="1"/>
      <c r="D19" s="48"/>
      <c r="E19" s="48"/>
      <c r="F19" s="44"/>
      <c r="G19" s="44"/>
      <c r="H19" s="1"/>
      <c r="I19" s="1"/>
      <c r="J19" s="1"/>
    </row>
    <row r="20" spans="1:10" ht="15.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5.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</sheetData>
  <mergeCells count="26">
    <mergeCell ref="D16:E16"/>
    <mergeCell ref="F16:G16"/>
    <mergeCell ref="G7:H7"/>
    <mergeCell ref="G8:H8"/>
    <mergeCell ref="B8:D8"/>
    <mergeCell ref="E5:F5"/>
    <mergeCell ref="E7:F7"/>
    <mergeCell ref="E6:F6"/>
    <mergeCell ref="B5:D5"/>
    <mergeCell ref="B6:D6"/>
    <mergeCell ref="B7:D7"/>
    <mergeCell ref="F18:G19"/>
    <mergeCell ref="B9:D9"/>
    <mergeCell ref="A1:J2"/>
    <mergeCell ref="D13:E13"/>
    <mergeCell ref="D14:E14"/>
    <mergeCell ref="D15:E15"/>
    <mergeCell ref="D17:E17"/>
    <mergeCell ref="D18:E19"/>
    <mergeCell ref="F13:G13"/>
    <mergeCell ref="F14:G14"/>
    <mergeCell ref="F15:G15"/>
    <mergeCell ref="F17:G17"/>
    <mergeCell ref="E8:F8"/>
    <mergeCell ref="G5:H5"/>
    <mergeCell ref="G6:H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60D49-4F02-41CD-B91E-E21B2F8DDF28}">
  <dimension ref="A1:Y38"/>
  <sheetViews>
    <sheetView tabSelected="1" workbookViewId="0">
      <selection activeCell="J26" sqref="J26:Y26"/>
    </sheetView>
  </sheetViews>
  <sheetFormatPr defaultRowHeight="14.4" x14ac:dyDescent="0.3"/>
  <cols>
    <col min="1" max="9" width="10.5546875" customWidth="1"/>
    <col min="10" max="13" width="11.6640625" customWidth="1"/>
  </cols>
  <sheetData>
    <row r="1" spans="1:25" x14ac:dyDescent="0.3">
      <c r="A1" s="80" t="s">
        <v>40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</row>
    <row r="2" spans="1:25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</row>
    <row r="3" spans="1:25" ht="15.6" x14ac:dyDescent="0.3">
      <c r="A3" s="1"/>
      <c r="B3" s="3"/>
      <c r="C3" s="3"/>
      <c r="D3" s="57" t="s">
        <v>37</v>
      </c>
      <c r="E3" s="57"/>
      <c r="F3" s="57"/>
      <c r="G3" s="11" t="s">
        <v>23</v>
      </c>
      <c r="H3" s="58" t="s">
        <v>38</v>
      </c>
      <c r="I3" s="58"/>
      <c r="J3" s="3"/>
      <c r="K3" s="3"/>
      <c r="L3" s="3"/>
      <c r="M3" s="3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</row>
    <row r="4" spans="1:25" ht="15.6" x14ac:dyDescent="0.3">
      <c r="A4" s="1"/>
      <c r="B4" s="3"/>
      <c r="C4" s="3"/>
      <c r="D4" s="48" t="s">
        <v>25</v>
      </c>
      <c r="E4" s="48"/>
      <c r="F4" s="48"/>
      <c r="G4" s="12">
        <v>3</v>
      </c>
      <c r="H4" s="44">
        <v>16</v>
      </c>
      <c r="I4" s="44"/>
      <c r="J4" s="3"/>
      <c r="K4" s="3"/>
      <c r="L4" s="3"/>
      <c r="M4" s="3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</row>
    <row r="5" spans="1:25" ht="15.6" x14ac:dyDescent="0.3">
      <c r="A5" s="1"/>
      <c r="B5" s="3"/>
      <c r="C5" s="3"/>
      <c r="D5" s="48" t="s">
        <v>26</v>
      </c>
      <c r="E5" s="48"/>
      <c r="F5" s="48"/>
      <c r="G5" s="12">
        <v>4</v>
      </c>
      <c r="H5" s="44">
        <v>0</v>
      </c>
      <c r="I5" s="44"/>
      <c r="J5" s="3"/>
      <c r="K5" s="3"/>
      <c r="L5" s="3"/>
      <c r="M5" s="3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</row>
    <row r="6" spans="1:25" ht="15.6" x14ac:dyDescent="0.3">
      <c r="A6" s="1"/>
      <c r="B6" s="3"/>
      <c r="C6" s="3"/>
      <c r="D6" s="48" t="s">
        <v>27</v>
      </c>
      <c r="E6" s="48"/>
      <c r="F6" s="48"/>
      <c r="G6" s="12">
        <v>5</v>
      </c>
      <c r="H6" s="44">
        <v>12</v>
      </c>
      <c r="I6" s="44"/>
      <c r="J6" s="3"/>
      <c r="K6" s="3"/>
      <c r="L6" s="3"/>
      <c r="M6" s="3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</row>
    <row r="7" spans="1:25" ht="15.6" x14ac:dyDescent="0.3">
      <c r="A7" s="1"/>
      <c r="B7" s="3"/>
      <c r="C7" s="3"/>
      <c r="D7" s="45" t="s">
        <v>39</v>
      </c>
      <c r="E7" s="45"/>
      <c r="F7" s="45"/>
      <c r="G7" s="21">
        <f>((G4*H4)+(G5*H5)+(G6*H6))</f>
        <v>108</v>
      </c>
      <c r="H7" s="82"/>
      <c r="I7" s="82"/>
      <c r="J7" s="3"/>
      <c r="K7" s="3"/>
      <c r="L7" s="3"/>
      <c r="M7" s="3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</row>
    <row r="8" spans="1:25" ht="15.6" x14ac:dyDescent="0.3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</row>
    <row r="9" spans="1:25" ht="15.6" x14ac:dyDescent="0.3">
      <c r="A9" s="70" t="s">
        <v>33</v>
      </c>
      <c r="B9" s="59" t="s">
        <v>34</v>
      </c>
      <c r="C9" s="60"/>
      <c r="D9" s="60"/>
      <c r="E9" s="61"/>
      <c r="F9" s="59" t="s">
        <v>35</v>
      </c>
      <c r="G9" s="61"/>
      <c r="H9" s="59" t="s">
        <v>29</v>
      </c>
      <c r="I9" s="61"/>
      <c r="J9" s="77" t="s">
        <v>36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</row>
    <row r="10" spans="1:25" ht="15.6" customHeight="1" x14ac:dyDescent="0.3">
      <c r="A10" s="70" t="s">
        <v>113</v>
      </c>
      <c r="B10" s="75" t="s">
        <v>119</v>
      </c>
      <c r="C10" s="75"/>
      <c r="D10" s="75"/>
      <c r="E10" s="75"/>
      <c r="F10" s="72">
        <v>6</v>
      </c>
      <c r="G10" s="76"/>
      <c r="H10" s="73" t="s">
        <v>27</v>
      </c>
      <c r="I10" s="73"/>
      <c r="J10" s="79" t="s">
        <v>166</v>
      </c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</row>
    <row r="11" spans="1:25" ht="15.6" customHeight="1" x14ac:dyDescent="0.3">
      <c r="A11" s="71" t="s">
        <v>114</v>
      </c>
      <c r="B11" s="75" t="s">
        <v>120</v>
      </c>
      <c r="C11" s="75"/>
      <c r="D11" s="75"/>
      <c r="E11" s="75"/>
      <c r="F11" s="72">
        <v>6</v>
      </c>
      <c r="G11" s="76"/>
      <c r="H11" s="73" t="s">
        <v>27</v>
      </c>
      <c r="I11" s="73"/>
      <c r="J11" s="79" t="s">
        <v>166</v>
      </c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</row>
    <row r="12" spans="1:25" ht="15.6" customHeight="1" x14ac:dyDescent="0.3">
      <c r="A12" s="71" t="s">
        <v>121</v>
      </c>
      <c r="B12" s="75" t="s">
        <v>122</v>
      </c>
      <c r="C12" s="75"/>
      <c r="D12" s="75"/>
      <c r="E12" s="75"/>
      <c r="F12" s="72">
        <v>1</v>
      </c>
      <c r="G12" s="76"/>
      <c r="H12" s="73" t="s">
        <v>25</v>
      </c>
      <c r="I12" s="73"/>
      <c r="J12" s="79" t="s">
        <v>117</v>
      </c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</row>
    <row r="13" spans="1:25" ht="15.6" customHeight="1" x14ac:dyDescent="0.3">
      <c r="A13" s="71" t="s">
        <v>123</v>
      </c>
      <c r="B13" s="75" t="s">
        <v>124</v>
      </c>
      <c r="C13" s="75"/>
      <c r="D13" s="75"/>
      <c r="E13" s="75"/>
      <c r="F13" s="72">
        <v>2</v>
      </c>
      <c r="G13" s="76"/>
      <c r="H13" s="73" t="s">
        <v>25</v>
      </c>
      <c r="I13" s="73"/>
      <c r="J13" s="79" t="s">
        <v>167</v>
      </c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</row>
    <row r="14" spans="1:25" ht="15.6" customHeight="1" x14ac:dyDescent="0.3">
      <c r="A14" s="71" t="s">
        <v>125</v>
      </c>
      <c r="B14" s="75" t="s">
        <v>126</v>
      </c>
      <c r="C14" s="75"/>
      <c r="D14" s="75"/>
      <c r="E14" s="75"/>
      <c r="F14" s="72">
        <v>2</v>
      </c>
      <c r="G14" s="76"/>
      <c r="H14" s="73" t="s">
        <v>25</v>
      </c>
      <c r="I14" s="73"/>
      <c r="J14" s="79" t="s">
        <v>167</v>
      </c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</row>
    <row r="15" spans="1:25" ht="15.6" customHeight="1" x14ac:dyDescent="0.3">
      <c r="A15" s="71" t="s">
        <v>127</v>
      </c>
      <c r="B15" s="75" t="s">
        <v>128</v>
      </c>
      <c r="C15" s="75"/>
      <c r="D15" s="75"/>
      <c r="E15" s="75"/>
      <c r="F15" s="72">
        <v>2</v>
      </c>
      <c r="G15" s="76"/>
      <c r="H15" s="73" t="s">
        <v>25</v>
      </c>
      <c r="I15" s="73"/>
      <c r="J15" s="79" t="s">
        <v>167</v>
      </c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</row>
    <row r="16" spans="1:25" ht="15.6" customHeight="1" x14ac:dyDescent="0.3">
      <c r="A16" s="71" t="s">
        <v>129</v>
      </c>
      <c r="B16" s="75" t="s">
        <v>130</v>
      </c>
      <c r="C16" s="75"/>
      <c r="D16" s="75"/>
      <c r="E16" s="75"/>
      <c r="F16" s="72">
        <v>1</v>
      </c>
      <c r="G16" s="76"/>
      <c r="H16" s="73" t="s">
        <v>25</v>
      </c>
      <c r="I16" s="73"/>
      <c r="J16" s="79" t="s">
        <v>168</v>
      </c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</row>
    <row r="17" spans="1:25" ht="15.6" customHeight="1" x14ac:dyDescent="0.3">
      <c r="A17" s="71" t="s">
        <v>131</v>
      </c>
      <c r="B17" s="75" t="s">
        <v>132</v>
      </c>
      <c r="C17" s="75"/>
      <c r="D17" s="75"/>
      <c r="E17" s="75"/>
      <c r="F17" s="72">
        <v>5</v>
      </c>
      <c r="G17" s="76"/>
      <c r="H17" s="73" t="s">
        <v>27</v>
      </c>
      <c r="I17" s="73"/>
      <c r="J17" s="79" t="s">
        <v>177</v>
      </c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</row>
    <row r="18" spans="1:25" ht="15.6" customHeight="1" x14ac:dyDescent="0.3">
      <c r="A18" s="71" t="s">
        <v>133</v>
      </c>
      <c r="B18" s="75" t="s">
        <v>152</v>
      </c>
      <c r="C18" s="75"/>
      <c r="D18" s="75"/>
      <c r="E18" s="75"/>
      <c r="F18" s="72">
        <v>5</v>
      </c>
      <c r="G18" s="76"/>
      <c r="H18" s="73" t="s">
        <v>27</v>
      </c>
      <c r="I18" s="73"/>
      <c r="J18" s="79" t="s">
        <v>178</v>
      </c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</row>
    <row r="19" spans="1:25" ht="15.6" customHeight="1" x14ac:dyDescent="0.3">
      <c r="A19" s="71" t="s">
        <v>134</v>
      </c>
      <c r="B19" s="75" t="s">
        <v>153</v>
      </c>
      <c r="C19" s="75"/>
      <c r="D19" s="75"/>
      <c r="E19" s="75"/>
      <c r="F19" s="72">
        <v>5</v>
      </c>
      <c r="G19" s="76"/>
      <c r="H19" s="73" t="s">
        <v>27</v>
      </c>
      <c r="I19" s="73"/>
      <c r="J19" s="79" t="s">
        <v>178</v>
      </c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</row>
    <row r="20" spans="1:25" ht="15.6" customHeight="1" x14ac:dyDescent="0.3">
      <c r="A20" s="71" t="s">
        <v>135</v>
      </c>
      <c r="B20" s="75" t="s">
        <v>154</v>
      </c>
      <c r="C20" s="75"/>
      <c r="D20" s="75"/>
      <c r="E20" s="75"/>
      <c r="F20" s="72">
        <v>1</v>
      </c>
      <c r="G20" s="76"/>
      <c r="H20" s="73" t="s">
        <v>25</v>
      </c>
      <c r="I20" s="73"/>
      <c r="J20" s="79" t="s">
        <v>169</v>
      </c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</row>
    <row r="21" spans="1:25" ht="15.6" customHeight="1" x14ac:dyDescent="0.3">
      <c r="A21" s="71" t="s">
        <v>136</v>
      </c>
      <c r="B21" s="75" t="s">
        <v>155</v>
      </c>
      <c r="C21" s="75"/>
      <c r="D21" s="75"/>
      <c r="E21" s="75"/>
      <c r="F21" s="72">
        <v>2</v>
      </c>
      <c r="G21" s="76"/>
      <c r="H21" s="73" t="s">
        <v>25</v>
      </c>
      <c r="I21" s="73"/>
      <c r="J21" s="79" t="s">
        <v>170</v>
      </c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</row>
    <row r="22" spans="1:25" ht="15.6" customHeight="1" x14ac:dyDescent="0.3">
      <c r="A22" s="71" t="s">
        <v>137</v>
      </c>
      <c r="B22" s="75" t="s">
        <v>152</v>
      </c>
      <c r="C22" s="75"/>
      <c r="D22" s="75"/>
      <c r="E22" s="75"/>
      <c r="F22" s="72">
        <v>2</v>
      </c>
      <c r="G22" s="76"/>
      <c r="H22" s="73" t="s">
        <v>25</v>
      </c>
      <c r="I22" s="73"/>
      <c r="J22" s="79" t="s">
        <v>170</v>
      </c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</row>
    <row r="23" spans="1:25" ht="15.6" customHeight="1" x14ac:dyDescent="0.3">
      <c r="A23" s="71" t="s">
        <v>138</v>
      </c>
      <c r="B23" s="75" t="s">
        <v>153</v>
      </c>
      <c r="C23" s="75"/>
      <c r="D23" s="75"/>
      <c r="E23" s="75"/>
      <c r="F23" s="72">
        <v>2</v>
      </c>
      <c r="G23" s="76"/>
      <c r="H23" s="73" t="s">
        <v>25</v>
      </c>
      <c r="I23" s="73"/>
      <c r="J23" s="79" t="s">
        <v>170</v>
      </c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</row>
    <row r="24" spans="1:25" ht="15.6" customHeight="1" x14ac:dyDescent="0.3">
      <c r="A24" s="71" t="s">
        <v>139</v>
      </c>
      <c r="B24" s="75" t="s">
        <v>156</v>
      </c>
      <c r="C24" s="75"/>
      <c r="D24" s="75"/>
      <c r="E24" s="75"/>
      <c r="F24" s="72">
        <v>1</v>
      </c>
      <c r="G24" s="76"/>
      <c r="H24" s="73" t="s">
        <v>25</v>
      </c>
      <c r="I24" s="73"/>
      <c r="J24" s="79" t="s">
        <v>171</v>
      </c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</row>
    <row r="25" spans="1:25" ht="15.6" customHeight="1" x14ac:dyDescent="0.3">
      <c r="A25" s="71" t="s">
        <v>140</v>
      </c>
      <c r="B25" s="75" t="s">
        <v>157</v>
      </c>
      <c r="C25" s="75"/>
      <c r="D25" s="75"/>
      <c r="E25" s="75"/>
      <c r="F25" s="72">
        <v>6</v>
      </c>
      <c r="G25" s="76"/>
      <c r="H25" s="73" t="s">
        <v>27</v>
      </c>
      <c r="I25" s="73"/>
      <c r="J25" s="79" t="s">
        <v>177</v>
      </c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</row>
    <row r="26" spans="1:25" ht="15.6" customHeight="1" x14ac:dyDescent="0.3">
      <c r="A26" s="71" t="s">
        <v>141</v>
      </c>
      <c r="B26" s="75" t="s">
        <v>158</v>
      </c>
      <c r="C26" s="75"/>
      <c r="D26" s="75"/>
      <c r="E26" s="75"/>
      <c r="F26" s="72">
        <v>6</v>
      </c>
      <c r="G26" s="76"/>
      <c r="H26" s="73" t="s">
        <v>27</v>
      </c>
      <c r="I26" s="73"/>
      <c r="J26" s="79" t="s">
        <v>177</v>
      </c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</row>
    <row r="27" spans="1:25" ht="15.6" customHeight="1" x14ac:dyDescent="0.3">
      <c r="A27" s="71" t="s">
        <v>142</v>
      </c>
      <c r="B27" s="75" t="s">
        <v>159</v>
      </c>
      <c r="C27" s="75"/>
      <c r="D27" s="75"/>
      <c r="E27" s="75"/>
      <c r="F27" s="72">
        <v>6</v>
      </c>
      <c r="G27" s="76"/>
      <c r="H27" s="73" t="s">
        <v>27</v>
      </c>
      <c r="I27" s="73"/>
      <c r="J27" s="79" t="s">
        <v>177</v>
      </c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</row>
    <row r="28" spans="1:25" ht="15.6" customHeight="1" x14ac:dyDescent="0.3">
      <c r="A28" s="71" t="s">
        <v>143</v>
      </c>
      <c r="B28" s="75" t="s">
        <v>160</v>
      </c>
      <c r="C28" s="75"/>
      <c r="D28" s="75"/>
      <c r="E28" s="75"/>
      <c r="F28" s="72">
        <v>1</v>
      </c>
      <c r="G28" s="76"/>
      <c r="H28" s="73" t="s">
        <v>25</v>
      </c>
      <c r="I28" s="73"/>
      <c r="J28" s="79" t="s">
        <v>172</v>
      </c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</row>
    <row r="29" spans="1:25" ht="15.6" customHeight="1" x14ac:dyDescent="0.3">
      <c r="A29" s="71" t="s">
        <v>144</v>
      </c>
      <c r="B29" s="75" t="s">
        <v>161</v>
      </c>
      <c r="C29" s="75"/>
      <c r="D29" s="75"/>
      <c r="E29" s="75"/>
      <c r="F29" s="72">
        <v>5</v>
      </c>
      <c r="G29" s="76"/>
      <c r="H29" s="73" t="s">
        <v>27</v>
      </c>
      <c r="I29" s="73"/>
      <c r="J29" s="79" t="s">
        <v>173</v>
      </c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</row>
    <row r="30" spans="1:25" ht="15.6" customHeight="1" x14ac:dyDescent="0.3">
      <c r="A30" s="71" t="s">
        <v>145</v>
      </c>
      <c r="B30" s="75" t="s">
        <v>162</v>
      </c>
      <c r="C30" s="75"/>
      <c r="D30" s="75"/>
      <c r="E30" s="75"/>
      <c r="F30" s="72">
        <v>5</v>
      </c>
      <c r="G30" s="76"/>
      <c r="H30" s="73" t="s">
        <v>27</v>
      </c>
      <c r="I30" s="73"/>
      <c r="J30" s="79" t="s">
        <v>173</v>
      </c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</row>
    <row r="31" spans="1:25" ht="15.6" customHeight="1" x14ac:dyDescent="0.3">
      <c r="A31" s="71" t="s">
        <v>146</v>
      </c>
      <c r="B31" s="75" t="s">
        <v>163</v>
      </c>
      <c r="C31" s="75"/>
      <c r="D31" s="75"/>
      <c r="E31" s="75"/>
      <c r="F31" s="72">
        <v>5</v>
      </c>
      <c r="G31" s="76"/>
      <c r="H31" s="73" t="s">
        <v>27</v>
      </c>
      <c r="I31" s="73"/>
      <c r="J31" s="79" t="s">
        <v>173</v>
      </c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</row>
    <row r="32" spans="1:25" ht="15.6" customHeight="1" x14ac:dyDescent="0.3">
      <c r="A32" s="71" t="s">
        <v>147</v>
      </c>
      <c r="B32" s="75" t="s">
        <v>164</v>
      </c>
      <c r="C32" s="75"/>
      <c r="D32" s="75"/>
      <c r="E32" s="75"/>
      <c r="F32" s="72">
        <v>1</v>
      </c>
      <c r="G32" s="76"/>
      <c r="H32" s="73" t="s">
        <v>25</v>
      </c>
      <c r="I32" s="73"/>
      <c r="J32" s="79" t="s">
        <v>174</v>
      </c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</row>
    <row r="33" spans="1:25" ht="15.6" customHeight="1" x14ac:dyDescent="0.3">
      <c r="A33" s="71" t="s">
        <v>148</v>
      </c>
      <c r="B33" s="75" t="s">
        <v>165</v>
      </c>
      <c r="C33" s="75"/>
      <c r="D33" s="75"/>
      <c r="E33" s="75"/>
      <c r="F33" s="72">
        <v>2</v>
      </c>
      <c r="G33" s="76"/>
      <c r="H33" s="73" t="s">
        <v>25</v>
      </c>
      <c r="I33" s="73"/>
      <c r="J33" s="79" t="s">
        <v>175</v>
      </c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</row>
    <row r="34" spans="1:25" ht="15.6" customHeight="1" x14ac:dyDescent="0.3">
      <c r="A34" s="71" t="s">
        <v>149</v>
      </c>
      <c r="B34" s="75" t="s">
        <v>162</v>
      </c>
      <c r="C34" s="75"/>
      <c r="D34" s="75"/>
      <c r="E34" s="75"/>
      <c r="F34" s="72">
        <v>2</v>
      </c>
      <c r="G34" s="76"/>
      <c r="H34" s="73" t="s">
        <v>25</v>
      </c>
      <c r="I34" s="73"/>
      <c r="J34" s="79" t="s">
        <v>175</v>
      </c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</row>
    <row r="35" spans="1:25" ht="15.6" customHeight="1" x14ac:dyDescent="0.3">
      <c r="A35" s="71" t="s">
        <v>150</v>
      </c>
      <c r="B35" s="75" t="s">
        <v>163</v>
      </c>
      <c r="C35" s="75"/>
      <c r="D35" s="75"/>
      <c r="E35" s="75"/>
      <c r="F35" s="72">
        <v>2</v>
      </c>
      <c r="G35" s="76"/>
      <c r="H35" s="73" t="s">
        <v>25</v>
      </c>
      <c r="I35" s="73"/>
      <c r="J35" s="79" t="s">
        <v>175</v>
      </c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</row>
    <row r="36" spans="1:25" ht="15.6" customHeight="1" x14ac:dyDescent="0.3">
      <c r="A36" s="71" t="s">
        <v>151</v>
      </c>
      <c r="B36" s="75" t="s">
        <v>164</v>
      </c>
      <c r="C36" s="75"/>
      <c r="D36" s="75"/>
      <c r="E36" s="75"/>
      <c r="F36" s="72">
        <v>1</v>
      </c>
      <c r="G36" s="76"/>
      <c r="H36" s="73" t="s">
        <v>25</v>
      </c>
      <c r="I36" s="73"/>
      <c r="J36" s="79" t="s">
        <v>176</v>
      </c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</row>
    <row r="37" spans="1:25" x14ac:dyDescent="0.3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</row>
    <row r="38" spans="1:25" x14ac:dyDescent="0.3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</row>
  </sheetData>
  <mergeCells count="122">
    <mergeCell ref="J10:Y10"/>
    <mergeCell ref="J11:Y11"/>
    <mergeCell ref="J12:Y12"/>
    <mergeCell ref="J13:Y13"/>
    <mergeCell ref="J14:Y14"/>
    <mergeCell ref="J15:Y15"/>
    <mergeCell ref="J16:Y16"/>
    <mergeCell ref="J17:Y17"/>
    <mergeCell ref="J18:Y18"/>
    <mergeCell ref="J19:Y19"/>
    <mergeCell ref="J20:Y20"/>
    <mergeCell ref="J21:Y21"/>
    <mergeCell ref="J22:Y22"/>
    <mergeCell ref="J23:Y23"/>
    <mergeCell ref="J24:Y24"/>
    <mergeCell ref="J25:Y25"/>
    <mergeCell ref="J26:Y26"/>
    <mergeCell ref="J27:Y27"/>
    <mergeCell ref="J28:Y28"/>
    <mergeCell ref="J29:Y29"/>
    <mergeCell ref="J30:Y30"/>
    <mergeCell ref="J31:Y31"/>
    <mergeCell ref="J32:Y32"/>
    <mergeCell ref="J33:Y33"/>
    <mergeCell ref="J34:Y34"/>
    <mergeCell ref="J9:Y9"/>
    <mergeCell ref="H9:I9"/>
    <mergeCell ref="B9:E9"/>
    <mergeCell ref="F9:G9"/>
    <mergeCell ref="J35:Y35"/>
    <mergeCell ref="J36:Y36"/>
    <mergeCell ref="B36:E36"/>
    <mergeCell ref="B31:E31"/>
    <mergeCell ref="B32:E32"/>
    <mergeCell ref="B33:E33"/>
    <mergeCell ref="B34:E34"/>
    <mergeCell ref="B35:E35"/>
    <mergeCell ref="B26:E26"/>
    <mergeCell ref="B27:E27"/>
    <mergeCell ref="B28:E28"/>
    <mergeCell ref="B29:E29"/>
    <mergeCell ref="B30:E30"/>
    <mergeCell ref="B16:E16"/>
    <mergeCell ref="B15:E15"/>
    <mergeCell ref="B14:E14"/>
    <mergeCell ref="B13:E13"/>
    <mergeCell ref="B19:E19"/>
    <mergeCell ref="B21:E21"/>
    <mergeCell ref="B20:E20"/>
    <mergeCell ref="B22:E22"/>
    <mergeCell ref="B23:E23"/>
    <mergeCell ref="B24:E24"/>
    <mergeCell ref="B25:E25"/>
    <mergeCell ref="F35:G35"/>
    <mergeCell ref="H35:I35"/>
    <mergeCell ref="F36:G36"/>
    <mergeCell ref="H36:I36"/>
    <mergeCell ref="F33:G33"/>
    <mergeCell ref="H33:I33"/>
    <mergeCell ref="F34:G34"/>
    <mergeCell ref="H34:I34"/>
    <mergeCell ref="F31:G31"/>
    <mergeCell ref="H31:I31"/>
    <mergeCell ref="F32:G32"/>
    <mergeCell ref="H32:I32"/>
    <mergeCell ref="F29:G29"/>
    <mergeCell ref="H29:I29"/>
    <mergeCell ref="F30:G30"/>
    <mergeCell ref="H30:I30"/>
    <mergeCell ref="F26:G26"/>
    <mergeCell ref="H26:I26"/>
    <mergeCell ref="F27:G27"/>
    <mergeCell ref="H27:I27"/>
    <mergeCell ref="F28:G28"/>
    <mergeCell ref="H28:I28"/>
    <mergeCell ref="F23:G23"/>
    <mergeCell ref="H23:I23"/>
    <mergeCell ref="F24:G24"/>
    <mergeCell ref="H24:I24"/>
    <mergeCell ref="F25:G25"/>
    <mergeCell ref="H25:I25"/>
    <mergeCell ref="F21:G21"/>
    <mergeCell ref="H21:I21"/>
    <mergeCell ref="F22:G22"/>
    <mergeCell ref="H22:I22"/>
    <mergeCell ref="F19:G19"/>
    <mergeCell ref="H19:I19"/>
    <mergeCell ref="F20:G20"/>
    <mergeCell ref="H20:I20"/>
    <mergeCell ref="B18:E18"/>
    <mergeCell ref="F18:G18"/>
    <mergeCell ref="H18:I18"/>
    <mergeCell ref="H14:I14"/>
    <mergeCell ref="F14:G14"/>
    <mergeCell ref="B17:E17"/>
    <mergeCell ref="F10:G10"/>
    <mergeCell ref="F11:G11"/>
    <mergeCell ref="F12:G12"/>
    <mergeCell ref="F13:G13"/>
    <mergeCell ref="B10:E10"/>
    <mergeCell ref="B11:E11"/>
    <mergeCell ref="B12:E12"/>
    <mergeCell ref="F15:G15"/>
    <mergeCell ref="F16:G16"/>
    <mergeCell ref="H17:I17"/>
    <mergeCell ref="F17:G17"/>
    <mergeCell ref="H10:I10"/>
    <mergeCell ref="H11:I11"/>
    <mergeCell ref="H12:I12"/>
    <mergeCell ref="H13:I13"/>
    <mergeCell ref="H15:I15"/>
    <mergeCell ref="H16:I16"/>
    <mergeCell ref="A1:N1"/>
    <mergeCell ref="D3:F3"/>
    <mergeCell ref="H3:I3"/>
    <mergeCell ref="D4:F4"/>
    <mergeCell ref="H4:I4"/>
    <mergeCell ref="D5:F5"/>
    <mergeCell ref="H5:I5"/>
    <mergeCell ref="D6:F6"/>
    <mergeCell ref="H6:I6"/>
    <mergeCell ref="D7:F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C7ADE-530C-4232-80BD-05517480E54F}">
  <dimension ref="A1:N35"/>
  <sheetViews>
    <sheetView topLeftCell="A13" workbookViewId="0">
      <selection activeCell="E19" sqref="E19"/>
    </sheetView>
  </sheetViews>
  <sheetFormatPr defaultRowHeight="14.4" x14ac:dyDescent="0.3"/>
  <sheetData>
    <row r="1" spans="1:14" x14ac:dyDescent="0.3">
      <c r="A1" s="29" t="s">
        <v>41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6" x14ac:dyDescent="0.3">
      <c r="A4" s="57" t="s">
        <v>42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1"/>
      <c r="M4" s="1"/>
      <c r="N4" s="1"/>
    </row>
    <row r="5" spans="1:14" ht="15.6" x14ac:dyDescent="0.3">
      <c r="A5" s="48" t="s">
        <v>33</v>
      </c>
      <c r="B5" s="48"/>
      <c r="C5" s="48"/>
      <c r="D5" s="48"/>
      <c r="E5" s="63" t="s">
        <v>43</v>
      </c>
      <c r="F5" s="63"/>
      <c r="G5" s="63"/>
      <c r="H5" s="63"/>
      <c r="I5" s="63"/>
      <c r="J5" s="13" t="s">
        <v>23</v>
      </c>
      <c r="K5" s="13" t="s">
        <v>44</v>
      </c>
      <c r="L5" s="1"/>
      <c r="M5" s="1"/>
      <c r="N5" s="1"/>
    </row>
    <row r="6" spans="1:14" ht="15.6" x14ac:dyDescent="0.3">
      <c r="A6" s="48" t="s">
        <v>45</v>
      </c>
      <c r="B6" s="48"/>
      <c r="C6" s="48"/>
      <c r="D6" s="48"/>
      <c r="E6" s="62" t="s">
        <v>46</v>
      </c>
      <c r="F6" s="62"/>
      <c r="G6" s="62"/>
      <c r="H6" s="62"/>
      <c r="I6" s="62"/>
      <c r="J6" s="14">
        <v>2</v>
      </c>
      <c r="K6" s="14">
        <v>0</v>
      </c>
      <c r="L6" s="1"/>
      <c r="M6" s="1"/>
      <c r="N6" s="1"/>
    </row>
    <row r="7" spans="1:14" ht="15.6" x14ac:dyDescent="0.3">
      <c r="A7" s="48" t="s">
        <v>47</v>
      </c>
      <c r="B7" s="48"/>
      <c r="C7" s="48"/>
      <c r="D7" s="48"/>
      <c r="E7" s="62" t="s">
        <v>48</v>
      </c>
      <c r="F7" s="62"/>
      <c r="G7" s="62"/>
      <c r="H7" s="62"/>
      <c r="I7" s="62"/>
      <c r="J7" s="14">
        <v>1</v>
      </c>
      <c r="K7" s="14">
        <v>2</v>
      </c>
      <c r="L7" s="1"/>
      <c r="M7" s="1"/>
      <c r="N7" s="1"/>
    </row>
    <row r="8" spans="1:14" ht="15.6" x14ac:dyDescent="0.3">
      <c r="A8" s="48" t="s">
        <v>49</v>
      </c>
      <c r="B8" s="48"/>
      <c r="C8" s="48"/>
      <c r="D8" s="48"/>
      <c r="E8" s="62" t="s">
        <v>50</v>
      </c>
      <c r="F8" s="62"/>
      <c r="G8" s="62"/>
      <c r="H8" s="62"/>
      <c r="I8" s="62"/>
      <c r="J8" s="14">
        <v>1</v>
      </c>
      <c r="K8" s="14">
        <v>2</v>
      </c>
      <c r="L8" s="1"/>
      <c r="M8" s="1"/>
      <c r="N8" s="1"/>
    </row>
    <row r="9" spans="1:14" ht="15.6" x14ac:dyDescent="0.3">
      <c r="A9" s="48" t="s">
        <v>51</v>
      </c>
      <c r="B9" s="48"/>
      <c r="C9" s="48"/>
      <c r="D9" s="48"/>
      <c r="E9" s="62" t="s">
        <v>52</v>
      </c>
      <c r="F9" s="62"/>
      <c r="G9" s="62"/>
      <c r="H9" s="62"/>
      <c r="I9" s="62"/>
      <c r="J9" s="14">
        <v>1</v>
      </c>
      <c r="K9" s="14">
        <v>1</v>
      </c>
      <c r="L9" s="1"/>
      <c r="M9" s="1"/>
      <c r="N9" s="1"/>
    </row>
    <row r="10" spans="1:14" ht="15.6" x14ac:dyDescent="0.3">
      <c r="A10" s="48" t="s">
        <v>53</v>
      </c>
      <c r="B10" s="48"/>
      <c r="C10" s="48"/>
      <c r="D10" s="48"/>
      <c r="E10" s="62" t="s">
        <v>54</v>
      </c>
      <c r="F10" s="62"/>
      <c r="G10" s="62"/>
      <c r="H10" s="62"/>
      <c r="I10" s="62"/>
      <c r="J10" s="14">
        <v>1</v>
      </c>
      <c r="K10" s="14">
        <v>2</v>
      </c>
      <c r="L10" s="1"/>
      <c r="M10" s="1"/>
      <c r="N10" s="1"/>
    </row>
    <row r="11" spans="1:14" ht="15.6" x14ac:dyDescent="0.3">
      <c r="A11" s="48" t="s">
        <v>55</v>
      </c>
      <c r="B11" s="48"/>
      <c r="C11" s="48"/>
      <c r="D11" s="48"/>
      <c r="E11" s="62" t="s">
        <v>56</v>
      </c>
      <c r="F11" s="62"/>
      <c r="G11" s="62"/>
      <c r="H11" s="62"/>
      <c r="I11" s="62"/>
      <c r="J11" s="14">
        <v>0.5</v>
      </c>
      <c r="K11" s="14">
        <v>5</v>
      </c>
      <c r="L11" s="1"/>
      <c r="M11" s="1"/>
      <c r="N11" s="1"/>
    </row>
    <row r="12" spans="1:14" ht="15.6" x14ac:dyDescent="0.3">
      <c r="A12" s="48" t="s">
        <v>57</v>
      </c>
      <c r="B12" s="48"/>
      <c r="C12" s="48"/>
      <c r="D12" s="48"/>
      <c r="E12" s="62" t="s">
        <v>58</v>
      </c>
      <c r="F12" s="62"/>
      <c r="G12" s="62"/>
      <c r="H12" s="62"/>
      <c r="I12" s="62"/>
      <c r="J12" s="18">
        <v>0.5</v>
      </c>
      <c r="K12" s="14">
        <v>5</v>
      </c>
      <c r="L12" s="1"/>
      <c r="M12" s="1"/>
      <c r="N12" s="1"/>
    </row>
    <row r="13" spans="1:14" ht="15.6" x14ac:dyDescent="0.3">
      <c r="A13" s="48" t="s">
        <v>59</v>
      </c>
      <c r="B13" s="48"/>
      <c r="C13" s="48"/>
      <c r="D13" s="48"/>
      <c r="E13" s="62" t="s">
        <v>60</v>
      </c>
      <c r="F13" s="62"/>
      <c r="G13" s="62"/>
      <c r="H13" s="62"/>
      <c r="I13" s="62"/>
      <c r="J13" s="14">
        <v>2</v>
      </c>
      <c r="K13" s="14">
        <v>0</v>
      </c>
      <c r="L13" s="1"/>
      <c r="M13" s="1"/>
      <c r="N13" s="1"/>
    </row>
    <row r="14" spans="1:14" ht="15.6" x14ac:dyDescent="0.3">
      <c r="A14" s="48" t="s">
        <v>61</v>
      </c>
      <c r="B14" s="48"/>
      <c r="C14" s="48"/>
      <c r="D14" s="48"/>
      <c r="E14" s="62" t="s">
        <v>62</v>
      </c>
      <c r="F14" s="62"/>
      <c r="G14" s="62"/>
      <c r="H14" s="62"/>
      <c r="I14" s="62"/>
      <c r="J14" s="14">
        <v>1</v>
      </c>
      <c r="K14" s="14">
        <v>4</v>
      </c>
      <c r="L14" s="1"/>
      <c r="M14" s="1"/>
      <c r="N14" s="1"/>
    </row>
    <row r="15" spans="1:14" ht="15.6" x14ac:dyDescent="0.3">
      <c r="A15" s="48" t="s">
        <v>63</v>
      </c>
      <c r="B15" s="48"/>
      <c r="C15" s="48"/>
      <c r="D15" s="48"/>
      <c r="E15" s="62" t="s">
        <v>64</v>
      </c>
      <c r="F15" s="62"/>
      <c r="G15" s="62"/>
      <c r="H15" s="62"/>
      <c r="I15" s="62"/>
      <c r="J15" s="14">
        <v>1</v>
      </c>
      <c r="K15" s="14">
        <v>2</v>
      </c>
      <c r="L15" s="1"/>
      <c r="M15" s="1"/>
      <c r="N15" s="1"/>
    </row>
    <row r="16" spans="1:14" ht="15.6" x14ac:dyDescent="0.3">
      <c r="A16" s="48" t="s">
        <v>65</v>
      </c>
      <c r="B16" s="48"/>
      <c r="C16" s="48"/>
      <c r="D16" s="48"/>
      <c r="E16" s="62" t="s">
        <v>66</v>
      </c>
      <c r="F16" s="62"/>
      <c r="G16" s="62"/>
      <c r="H16" s="62"/>
      <c r="I16" s="62"/>
      <c r="J16" s="14">
        <v>1</v>
      </c>
      <c r="K16" s="14">
        <v>2</v>
      </c>
      <c r="L16" s="1"/>
      <c r="M16" s="1"/>
      <c r="N16" s="1"/>
    </row>
    <row r="17" spans="1:14" ht="15.6" x14ac:dyDescent="0.3">
      <c r="A17" s="48" t="s">
        <v>67</v>
      </c>
      <c r="B17" s="48"/>
      <c r="C17" s="48"/>
      <c r="D17" s="48"/>
      <c r="E17" s="62" t="s">
        <v>68</v>
      </c>
      <c r="F17" s="62"/>
      <c r="G17" s="62"/>
      <c r="H17" s="62"/>
      <c r="I17" s="62"/>
      <c r="J17" s="14">
        <v>1</v>
      </c>
      <c r="K17" s="14">
        <v>1</v>
      </c>
      <c r="L17" s="1"/>
      <c r="M17" s="1"/>
      <c r="N17" s="1"/>
    </row>
    <row r="18" spans="1:14" ht="15.6" x14ac:dyDescent="0.3">
      <c r="A18" s="48" t="s">
        <v>69</v>
      </c>
      <c r="B18" s="48"/>
      <c r="C18" s="48"/>
      <c r="D18" s="48"/>
      <c r="E18" s="62" t="s">
        <v>70</v>
      </c>
      <c r="F18" s="62"/>
      <c r="G18" s="62"/>
      <c r="H18" s="62"/>
      <c r="I18" s="62"/>
      <c r="J18" s="14">
        <v>1</v>
      </c>
      <c r="K18" s="14">
        <v>0</v>
      </c>
      <c r="L18" s="1"/>
      <c r="M18" s="1"/>
      <c r="N18" s="1"/>
    </row>
    <row r="19" spans="1:14" ht="15.6" x14ac:dyDescent="0.3">
      <c r="A19" s="48" t="s">
        <v>71</v>
      </c>
      <c r="B19" s="48"/>
      <c r="C19" s="48"/>
      <c r="D19" s="48"/>
      <c r="E19" s="22">
        <f>0.6+(0.01*SUM(J6*K6,J7*K7,J8*K8,J9*K9,J10*K10,J11*K11,J12*K12,J13*K13,J14*K14,J15*K15,J16*K16,J17*K17,J18*K18))</f>
        <v>0.80999999999999994</v>
      </c>
      <c r="F19" s="1"/>
      <c r="G19" s="1"/>
      <c r="H19" s="1"/>
      <c r="I19" s="1"/>
      <c r="J19" s="1"/>
      <c r="K19" s="1"/>
      <c r="L19" s="1"/>
      <c r="M19" s="1"/>
      <c r="N19" s="1"/>
    </row>
    <row r="20" spans="1:14" ht="15.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.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5.6" x14ac:dyDescent="0.3">
      <c r="A23" s="57" t="s">
        <v>72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1"/>
    </row>
    <row r="24" spans="1:14" ht="15.6" x14ac:dyDescent="0.3">
      <c r="A24" s="48" t="s">
        <v>33</v>
      </c>
      <c r="B24" s="48"/>
      <c r="C24" s="48"/>
      <c r="D24" s="48"/>
      <c r="E24" s="63" t="s">
        <v>43</v>
      </c>
      <c r="F24" s="63"/>
      <c r="G24" s="63"/>
      <c r="H24" s="63"/>
      <c r="I24" s="63"/>
      <c r="J24" s="63"/>
      <c r="K24" s="63"/>
      <c r="L24" s="13" t="s">
        <v>23</v>
      </c>
      <c r="M24" s="13" t="s">
        <v>44</v>
      </c>
      <c r="N24" s="1"/>
    </row>
    <row r="25" spans="1:14" ht="15.6" x14ac:dyDescent="0.3">
      <c r="A25" s="48" t="s">
        <v>73</v>
      </c>
      <c r="B25" s="48"/>
      <c r="C25" s="48"/>
      <c r="D25" s="48"/>
      <c r="E25" s="62" t="s">
        <v>74</v>
      </c>
      <c r="F25" s="62"/>
      <c r="G25" s="62"/>
      <c r="H25" s="62"/>
      <c r="I25" s="62"/>
      <c r="J25" s="62"/>
      <c r="K25" s="62"/>
      <c r="L25" s="14">
        <v>1.5</v>
      </c>
      <c r="M25" s="14">
        <v>2</v>
      </c>
      <c r="N25" s="1"/>
    </row>
    <row r="26" spans="1:14" ht="15.6" x14ac:dyDescent="0.3">
      <c r="A26" s="48" t="s">
        <v>75</v>
      </c>
      <c r="B26" s="48"/>
      <c r="C26" s="48"/>
      <c r="D26" s="48"/>
      <c r="E26" s="62" t="s">
        <v>76</v>
      </c>
      <c r="F26" s="62"/>
      <c r="G26" s="62"/>
      <c r="H26" s="62"/>
      <c r="I26" s="62"/>
      <c r="J26" s="62"/>
      <c r="K26" s="62"/>
      <c r="L26" s="14">
        <v>0.5</v>
      </c>
      <c r="M26" s="14">
        <v>0</v>
      </c>
      <c r="N26" s="1"/>
    </row>
    <row r="27" spans="1:14" ht="15.6" x14ac:dyDescent="0.3">
      <c r="A27" s="48" t="s">
        <v>77</v>
      </c>
      <c r="B27" s="48"/>
      <c r="C27" s="48"/>
      <c r="D27" s="48"/>
      <c r="E27" s="62" t="s">
        <v>78</v>
      </c>
      <c r="F27" s="62"/>
      <c r="G27" s="62"/>
      <c r="H27" s="62"/>
      <c r="I27" s="62"/>
      <c r="J27" s="62"/>
      <c r="K27" s="62"/>
      <c r="L27" s="14">
        <v>1</v>
      </c>
      <c r="M27" s="14">
        <v>2</v>
      </c>
      <c r="N27" s="1"/>
    </row>
    <row r="28" spans="1:14" ht="15.6" x14ac:dyDescent="0.3">
      <c r="A28" s="48" t="s">
        <v>79</v>
      </c>
      <c r="B28" s="48"/>
      <c r="C28" s="48"/>
      <c r="D28" s="48"/>
      <c r="E28" s="62" t="s">
        <v>80</v>
      </c>
      <c r="F28" s="62"/>
      <c r="G28" s="62"/>
      <c r="H28" s="62"/>
      <c r="I28" s="62"/>
      <c r="J28" s="62"/>
      <c r="K28" s="62"/>
      <c r="L28" s="14">
        <v>0.5</v>
      </c>
      <c r="M28" s="14">
        <v>1</v>
      </c>
      <c r="N28" s="1"/>
    </row>
    <row r="29" spans="1:14" ht="15.6" x14ac:dyDescent="0.3">
      <c r="A29" s="48" t="s">
        <v>81</v>
      </c>
      <c r="B29" s="48"/>
      <c r="C29" s="48"/>
      <c r="D29" s="48"/>
      <c r="E29" s="62" t="s">
        <v>82</v>
      </c>
      <c r="F29" s="62"/>
      <c r="G29" s="62"/>
      <c r="H29" s="62"/>
      <c r="I29" s="62"/>
      <c r="J29" s="62"/>
      <c r="K29" s="62"/>
      <c r="L29" s="14">
        <v>1</v>
      </c>
      <c r="M29" s="14">
        <v>5</v>
      </c>
      <c r="N29" s="1"/>
    </row>
    <row r="30" spans="1:14" ht="15.6" x14ac:dyDescent="0.3">
      <c r="A30" s="48" t="s">
        <v>83</v>
      </c>
      <c r="B30" s="48"/>
      <c r="C30" s="48"/>
      <c r="D30" s="48"/>
      <c r="E30" s="62" t="s">
        <v>84</v>
      </c>
      <c r="F30" s="62"/>
      <c r="G30" s="62"/>
      <c r="H30" s="62"/>
      <c r="I30" s="62"/>
      <c r="J30" s="62"/>
      <c r="K30" s="62"/>
      <c r="L30" s="14">
        <v>2</v>
      </c>
      <c r="M30" s="14">
        <v>5</v>
      </c>
      <c r="N30" s="1"/>
    </row>
    <row r="31" spans="1:14" ht="15.6" x14ac:dyDescent="0.3">
      <c r="A31" s="48" t="s">
        <v>85</v>
      </c>
      <c r="B31" s="48"/>
      <c r="C31" s="48"/>
      <c r="D31" s="48"/>
      <c r="E31" s="62" t="s">
        <v>86</v>
      </c>
      <c r="F31" s="62"/>
      <c r="G31" s="62"/>
      <c r="H31" s="62"/>
      <c r="I31" s="62"/>
      <c r="J31" s="62"/>
      <c r="K31" s="62"/>
      <c r="L31" s="14">
        <v>-1</v>
      </c>
      <c r="M31" s="14">
        <v>4</v>
      </c>
      <c r="N31" s="1"/>
    </row>
    <row r="32" spans="1:14" ht="15.6" x14ac:dyDescent="0.3">
      <c r="A32" s="48" t="s">
        <v>87</v>
      </c>
      <c r="B32" s="48"/>
      <c r="C32" s="48"/>
      <c r="D32" s="48"/>
      <c r="E32" s="62" t="s">
        <v>88</v>
      </c>
      <c r="F32" s="62"/>
      <c r="G32" s="62"/>
      <c r="H32" s="62"/>
      <c r="I32" s="62"/>
      <c r="J32" s="62"/>
      <c r="K32" s="62"/>
      <c r="L32" s="14">
        <v>-1</v>
      </c>
      <c r="M32" s="14">
        <v>2</v>
      </c>
      <c r="N32" s="1"/>
    </row>
    <row r="33" spans="1:14" ht="15.6" x14ac:dyDescent="0.3">
      <c r="A33" s="48" t="s">
        <v>89</v>
      </c>
      <c r="B33" s="48"/>
      <c r="C33" s="48"/>
      <c r="D33" s="48"/>
      <c r="E33" s="23">
        <f>1.4+(-0.03*SUM(L25*M25,L26*M26,L27*M27,L28*M28,L29*M29,L30*M30,L31*M31,L32*M32))</f>
        <v>0.96499999999999986</v>
      </c>
      <c r="F33" s="1"/>
      <c r="G33" s="1"/>
      <c r="H33" s="1"/>
      <c r="I33" s="1"/>
      <c r="J33" s="1"/>
      <c r="K33" s="1"/>
      <c r="L33" s="1"/>
      <c r="M33" s="1"/>
      <c r="N33" s="1"/>
    </row>
    <row r="34" spans="1:14" ht="15.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</sheetData>
  <mergeCells count="51">
    <mergeCell ref="A11:D11"/>
    <mergeCell ref="A12:D12"/>
    <mergeCell ref="A13:D13"/>
    <mergeCell ref="A14:D14"/>
    <mergeCell ref="A15:D15"/>
    <mergeCell ref="E8:I8"/>
    <mergeCell ref="E9:I9"/>
    <mergeCell ref="E10:I10"/>
    <mergeCell ref="A5:D5"/>
    <mergeCell ref="A6:D6"/>
    <mergeCell ref="A7:D7"/>
    <mergeCell ref="A8:D8"/>
    <mergeCell ref="A9:D9"/>
    <mergeCell ref="A10:D10"/>
    <mergeCell ref="A4:K4"/>
    <mergeCell ref="E24:K24"/>
    <mergeCell ref="E25:K25"/>
    <mergeCell ref="E11:I11"/>
    <mergeCell ref="E12:I12"/>
    <mergeCell ref="E13:I13"/>
    <mergeCell ref="E14:I14"/>
    <mergeCell ref="E15:I15"/>
    <mergeCell ref="E16:I16"/>
    <mergeCell ref="A16:D16"/>
    <mergeCell ref="A17:D17"/>
    <mergeCell ref="A18:D18"/>
    <mergeCell ref="A19:D19"/>
    <mergeCell ref="E5:I5"/>
    <mergeCell ref="E6:I6"/>
    <mergeCell ref="E7:I7"/>
    <mergeCell ref="E29:K29"/>
    <mergeCell ref="E30:K30"/>
    <mergeCell ref="E31:K31"/>
    <mergeCell ref="E17:I17"/>
    <mergeCell ref="E18:I18"/>
    <mergeCell ref="A32:D32"/>
    <mergeCell ref="A33:D33"/>
    <mergeCell ref="A23:M23"/>
    <mergeCell ref="A1:N2"/>
    <mergeCell ref="E32:K32"/>
    <mergeCell ref="A24:D24"/>
    <mergeCell ref="A25:D25"/>
    <mergeCell ref="A26:D26"/>
    <mergeCell ref="A27:D27"/>
    <mergeCell ref="A28:D28"/>
    <mergeCell ref="A29:D29"/>
    <mergeCell ref="A30:D30"/>
    <mergeCell ref="A31:D31"/>
    <mergeCell ref="E26:K26"/>
    <mergeCell ref="E27:K27"/>
    <mergeCell ref="E28:K2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6EDDA-5C13-4179-884C-164F29A518C1}">
  <dimension ref="A1:W13"/>
  <sheetViews>
    <sheetView topLeftCell="A4" workbookViewId="0">
      <selection activeCell="I9" sqref="I9:J9"/>
    </sheetView>
  </sheetViews>
  <sheetFormatPr defaultRowHeight="14.4" x14ac:dyDescent="0.3"/>
  <sheetData>
    <row r="1" spans="1:23" x14ac:dyDescent="0.3">
      <c r="A1" s="29" t="s">
        <v>109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spans="1:23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</row>
    <row r="3" spans="1:23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6" x14ac:dyDescent="0.3">
      <c r="A4" s="57" t="s">
        <v>90</v>
      </c>
      <c r="B4" s="57"/>
      <c r="C4" s="57" t="s">
        <v>91</v>
      </c>
      <c r="D4" s="57"/>
      <c r="E4" s="58" t="s">
        <v>92</v>
      </c>
      <c r="F4" s="58"/>
      <c r="G4" s="57" t="s">
        <v>93</v>
      </c>
      <c r="H4" s="57"/>
      <c r="I4" s="57" t="s">
        <v>94</v>
      </c>
      <c r="J4" s="57"/>
      <c r="K4" s="57" t="s">
        <v>95</v>
      </c>
      <c r="L4" s="57"/>
      <c r="M4" s="57" t="s">
        <v>96</v>
      </c>
      <c r="N4" s="57"/>
      <c r="O4" s="57" t="s">
        <v>97</v>
      </c>
      <c r="P4" s="57"/>
      <c r="Q4" s="57" t="s">
        <v>98</v>
      </c>
      <c r="R4" s="57"/>
      <c r="S4" s="57" t="s">
        <v>99</v>
      </c>
      <c r="T4" s="57"/>
      <c r="U4" s="67" t="s">
        <v>100</v>
      </c>
      <c r="V4" s="67"/>
      <c r="W4" s="1"/>
    </row>
    <row r="5" spans="1:23" ht="15.6" x14ac:dyDescent="0.3">
      <c r="A5" s="48" t="s">
        <v>101</v>
      </c>
      <c r="B5" s="48"/>
      <c r="C5" s="44">
        <v>190</v>
      </c>
      <c r="D5" s="44"/>
      <c r="E5" s="46">
        <f>SUM(G5:T5)</f>
        <v>389</v>
      </c>
      <c r="F5" s="46"/>
      <c r="G5" s="44">
        <v>25</v>
      </c>
      <c r="H5" s="44"/>
      <c r="I5" s="44">
        <v>80</v>
      </c>
      <c r="J5" s="44"/>
      <c r="K5" s="44">
        <v>25</v>
      </c>
      <c r="L5" s="44"/>
      <c r="M5" s="44">
        <v>200</v>
      </c>
      <c r="N5" s="44"/>
      <c r="O5" s="44">
        <v>10</v>
      </c>
      <c r="P5" s="44"/>
      <c r="Q5" s="44">
        <v>25</v>
      </c>
      <c r="R5" s="44"/>
      <c r="S5" s="44">
        <v>24</v>
      </c>
      <c r="T5" s="44"/>
      <c r="U5" s="68">
        <f>E5/C5</f>
        <v>2.0473684210526315</v>
      </c>
      <c r="V5" s="69"/>
      <c r="W5" s="1"/>
    </row>
    <row r="6" spans="1:23" ht="15.6" x14ac:dyDescent="0.3">
      <c r="A6" s="48" t="s">
        <v>102</v>
      </c>
      <c r="B6" s="48"/>
      <c r="C6" s="44">
        <v>130</v>
      </c>
      <c r="D6" s="44"/>
      <c r="E6" s="46">
        <f>SUM(G6:T6)</f>
        <v>326</v>
      </c>
      <c r="F6" s="46"/>
      <c r="G6" s="44">
        <v>20</v>
      </c>
      <c r="H6" s="44"/>
      <c r="I6" s="44">
        <v>120</v>
      </c>
      <c r="J6" s="44"/>
      <c r="K6" s="44">
        <v>30</v>
      </c>
      <c r="L6" s="44"/>
      <c r="M6" s="44">
        <v>100</v>
      </c>
      <c r="N6" s="44"/>
      <c r="O6" s="44">
        <v>10</v>
      </c>
      <c r="P6" s="44"/>
      <c r="Q6" s="44">
        <v>30</v>
      </c>
      <c r="R6" s="44"/>
      <c r="S6" s="44">
        <v>16</v>
      </c>
      <c r="T6" s="44"/>
      <c r="U6" s="68">
        <f t="shared" ref="U6:U8" si="0">E6/C6</f>
        <v>2.5076923076923077</v>
      </c>
      <c r="V6" s="69"/>
      <c r="W6" s="1"/>
    </row>
    <row r="7" spans="1:23" ht="15.6" x14ac:dyDescent="0.3">
      <c r="A7" s="48" t="s">
        <v>103</v>
      </c>
      <c r="B7" s="48"/>
      <c r="C7" s="44">
        <v>140</v>
      </c>
      <c r="D7" s="44"/>
      <c r="E7" s="46">
        <f t="shared" ref="E7:E8" si="1">SUM(G7:T7)</f>
        <v>399</v>
      </c>
      <c r="F7" s="46"/>
      <c r="G7" s="44">
        <v>17</v>
      </c>
      <c r="H7" s="44"/>
      <c r="I7" s="44">
        <v>90</v>
      </c>
      <c r="J7" s="44"/>
      <c r="K7" s="44">
        <v>32</v>
      </c>
      <c r="L7" s="44"/>
      <c r="M7" s="44">
        <v>200</v>
      </c>
      <c r="N7" s="44"/>
      <c r="O7" s="44">
        <v>12</v>
      </c>
      <c r="P7" s="44"/>
      <c r="Q7" s="44">
        <v>32</v>
      </c>
      <c r="R7" s="44"/>
      <c r="S7" s="44">
        <v>16</v>
      </c>
      <c r="T7" s="44"/>
      <c r="U7" s="68">
        <f t="shared" si="0"/>
        <v>2.85</v>
      </c>
      <c r="V7" s="69"/>
      <c r="W7" s="1"/>
    </row>
    <row r="8" spans="1:23" ht="15.6" x14ac:dyDescent="0.3">
      <c r="A8" s="48" t="s">
        <v>104</v>
      </c>
      <c r="B8" s="48"/>
      <c r="C8" s="44">
        <v>125</v>
      </c>
      <c r="D8" s="44"/>
      <c r="E8" s="46">
        <f t="shared" si="1"/>
        <v>386</v>
      </c>
      <c r="F8" s="46"/>
      <c r="G8" s="44">
        <v>22</v>
      </c>
      <c r="H8" s="44"/>
      <c r="I8" s="44">
        <v>130</v>
      </c>
      <c r="J8" s="44"/>
      <c r="K8" s="44">
        <v>33</v>
      </c>
      <c r="L8" s="44"/>
      <c r="M8" s="44">
        <v>150</v>
      </c>
      <c r="N8" s="44"/>
      <c r="O8" s="44">
        <v>8</v>
      </c>
      <c r="P8" s="44"/>
      <c r="Q8" s="44">
        <v>35</v>
      </c>
      <c r="R8" s="44"/>
      <c r="S8" s="44">
        <v>8</v>
      </c>
      <c r="T8" s="44"/>
      <c r="U8" s="68">
        <f t="shared" si="0"/>
        <v>3.0880000000000001</v>
      </c>
      <c r="V8" s="69"/>
      <c r="W8" s="1"/>
    </row>
    <row r="9" spans="1:23" ht="15.6" x14ac:dyDescent="0.3">
      <c r="A9" s="45" t="s">
        <v>105</v>
      </c>
      <c r="B9" s="45"/>
      <c r="C9" s="45"/>
      <c r="D9" s="45"/>
      <c r="E9" s="46">
        <f>SUM(E5,E6,E7,E8)</f>
        <v>1500</v>
      </c>
      <c r="F9" s="46"/>
      <c r="G9" s="46">
        <f t="shared" ref="G9" si="2">SUM(G5,G6,G7,G8)</f>
        <v>84</v>
      </c>
      <c r="H9" s="46"/>
      <c r="I9" s="46">
        <f t="shared" ref="I9" si="3">SUM(I5,I6,I7,I8)</f>
        <v>420</v>
      </c>
      <c r="J9" s="46"/>
      <c r="K9" s="46">
        <f t="shared" ref="K9" si="4">SUM(K5,K6,K7,K8)</f>
        <v>120</v>
      </c>
      <c r="L9" s="46"/>
      <c r="M9" s="46">
        <f t="shared" ref="M9" si="5">SUM(M5,M6,M7,M8)</f>
        <v>650</v>
      </c>
      <c r="N9" s="46"/>
      <c r="O9" s="46">
        <f t="shared" ref="O9" si="6">SUM(O5,O6,O7,O8)</f>
        <v>40</v>
      </c>
      <c r="P9" s="46"/>
      <c r="Q9" s="46">
        <f t="shared" ref="Q9" si="7">SUM(Q5,Q6,Q7,Q8)</f>
        <v>122</v>
      </c>
      <c r="R9" s="46"/>
      <c r="S9" s="46">
        <f t="shared" ref="S9" si="8">SUM(S5,S6,S7,S8)</f>
        <v>64</v>
      </c>
      <c r="T9" s="46"/>
      <c r="U9" s="66"/>
      <c r="V9" s="66"/>
      <c r="W9" s="1"/>
    </row>
    <row r="10" spans="1:23" ht="15.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64" t="s">
        <v>106</v>
      </c>
      <c r="R10" s="64"/>
      <c r="S10" s="64"/>
      <c r="T10" s="64"/>
      <c r="U10" s="65" t="s">
        <v>107</v>
      </c>
      <c r="V10" s="65"/>
      <c r="W10" s="1"/>
    </row>
    <row r="11" spans="1:23" ht="15.6" x14ac:dyDescent="0.3">
      <c r="A11" s="45" t="s">
        <v>108</v>
      </c>
      <c r="B11" s="45"/>
      <c r="C11" s="45"/>
      <c r="D11" s="45"/>
      <c r="E11" s="19"/>
      <c r="F11" s="20"/>
      <c r="G11" s="86">
        <f>((G9)/$E$9)</f>
        <v>5.6000000000000001E-2</v>
      </c>
      <c r="H11" s="16"/>
      <c r="I11" s="86">
        <f>((I9)/$E$9)</f>
        <v>0.28000000000000003</v>
      </c>
      <c r="J11" s="16"/>
      <c r="K11" s="86">
        <f>((K9)/$E$9)</f>
        <v>0.08</v>
      </c>
      <c r="L11" s="16"/>
      <c r="M11" s="86">
        <f>((M9)/$E$9)</f>
        <v>0.43333333333333335</v>
      </c>
      <c r="N11" s="16"/>
      <c r="O11" s="86">
        <f>((O9)/$E$9)</f>
        <v>2.6666666666666668E-2</v>
      </c>
      <c r="P11" s="16"/>
      <c r="Q11" s="86">
        <f>((Q9)/$E$9)</f>
        <v>8.1333333333333327E-2</v>
      </c>
      <c r="R11" s="16"/>
      <c r="S11" s="86">
        <f>((S9)/$E$9)</f>
        <v>4.2666666666666665E-2</v>
      </c>
      <c r="T11" s="17"/>
      <c r="U11" s="87">
        <f>SUM(G11,I11,K11,M11,O11,Q11,S11)</f>
        <v>1</v>
      </c>
      <c r="V11" s="88"/>
      <c r="W11" s="1"/>
    </row>
    <row r="12" spans="1:23" ht="15.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85"/>
      <c r="T12" s="1"/>
      <c r="U12" s="1"/>
      <c r="V12" s="1"/>
      <c r="W12" s="1"/>
    </row>
    <row r="13" spans="1:23" ht="15.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</sheetData>
  <mergeCells count="70">
    <mergeCell ref="U11:V11"/>
    <mergeCell ref="A4:B4"/>
    <mergeCell ref="A5:B5"/>
    <mergeCell ref="A6:B6"/>
    <mergeCell ref="A7:B7"/>
    <mergeCell ref="A8:B8"/>
    <mergeCell ref="E4:F4"/>
    <mergeCell ref="E5:F5"/>
    <mergeCell ref="E6:F6"/>
    <mergeCell ref="E7:F7"/>
    <mergeCell ref="E8:F8"/>
    <mergeCell ref="C4:D4"/>
    <mergeCell ref="C5:D5"/>
    <mergeCell ref="C6:D6"/>
    <mergeCell ref="C7:D7"/>
    <mergeCell ref="C8:D8"/>
    <mergeCell ref="I4:J4"/>
    <mergeCell ref="I5:J5"/>
    <mergeCell ref="I6:J6"/>
    <mergeCell ref="I7:J7"/>
    <mergeCell ref="I8:J8"/>
    <mergeCell ref="G4:H4"/>
    <mergeCell ref="G5:H5"/>
    <mergeCell ref="G6:H6"/>
    <mergeCell ref="G7:H7"/>
    <mergeCell ref="G8:H8"/>
    <mergeCell ref="M4:N4"/>
    <mergeCell ref="M5:N5"/>
    <mergeCell ref="M6:N6"/>
    <mergeCell ref="M7:N7"/>
    <mergeCell ref="M8:N8"/>
    <mergeCell ref="K4:L4"/>
    <mergeCell ref="K5:L5"/>
    <mergeCell ref="K6:L6"/>
    <mergeCell ref="K7:L7"/>
    <mergeCell ref="K8:L8"/>
    <mergeCell ref="O4:P4"/>
    <mergeCell ref="O5:P5"/>
    <mergeCell ref="O6:P6"/>
    <mergeCell ref="O7:P7"/>
    <mergeCell ref="O8:P8"/>
    <mergeCell ref="U4:V4"/>
    <mergeCell ref="U5:V5"/>
    <mergeCell ref="U6:V6"/>
    <mergeCell ref="U7:V7"/>
    <mergeCell ref="U8:V8"/>
    <mergeCell ref="S6:T6"/>
    <mergeCell ref="S7:T7"/>
    <mergeCell ref="S8:T8"/>
    <mergeCell ref="Q4:R4"/>
    <mergeCell ref="Q5:R5"/>
    <mergeCell ref="Q6:R6"/>
    <mergeCell ref="Q7:R7"/>
    <mergeCell ref="Q8:R8"/>
    <mergeCell ref="A1:W2"/>
    <mergeCell ref="A9:D9"/>
    <mergeCell ref="A11:D11"/>
    <mergeCell ref="Q10:T10"/>
    <mergeCell ref="U10:V10"/>
    <mergeCell ref="U9:V9"/>
    <mergeCell ref="E9:F9"/>
    <mergeCell ref="G9:H9"/>
    <mergeCell ref="I9:J9"/>
    <mergeCell ref="K9:L9"/>
    <mergeCell ref="M9:N9"/>
    <mergeCell ref="O9:P9"/>
    <mergeCell ref="Q9:R9"/>
    <mergeCell ref="S9:T9"/>
    <mergeCell ref="S4:T4"/>
    <mergeCell ref="S5:T5"/>
  </mergeCells>
  <phoneticPr fontId="1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Geral</vt:lpstr>
      <vt:lpstr>Atores</vt:lpstr>
      <vt:lpstr>RFS ou RFC</vt:lpstr>
      <vt:lpstr>Fatores</vt:lpstr>
      <vt:lpstr>Dados históricos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Tales</dc:creator>
  <cp:lastModifiedBy>Thais Souza</cp:lastModifiedBy>
  <dcterms:created xsi:type="dcterms:W3CDTF">2021-06-29T19:41:22Z</dcterms:created>
  <dcterms:modified xsi:type="dcterms:W3CDTF">2021-07-19T19:12:08Z</dcterms:modified>
</cp:coreProperties>
</file>